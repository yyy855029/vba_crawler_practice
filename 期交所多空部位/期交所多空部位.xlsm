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黃子瑋\Desktop\xlwings測試\"/>
    </mc:Choice>
  </mc:AlternateContent>
  <xr:revisionPtr revIDLastSave="0" documentId="13_ncr:1_{ECBBE329-4069-4DC3-A243-390AE08D411D}" xr6:coauthVersionLast="47" xr6:coauthVersionMax="47" xr10:uidLastSave="{00000000-0000-0000-0000-000000000000}"/>
  <bookViews>
    <workbookView xWindow="-110" yWindow="-110" windowWidth="19420" windowHeight="10420" activeTab="2" xr2:uid="{0E82267C-C6BB-4D24-968D-C78E550D72CC}"/>
  </bookViews>
  <sheets>
    <sheet name="圖形" sheetId="5" r:id="rId1"/>
    <sheet name="對照日彙整" sheetId="10" r:id="rId2"/>
    <sheet name="最新日彙整" sheetId="11" r:id="rId3"/>
    <sheet name="表格" sheetId="12" state="hidden" r:id="rId4"/>
    <sheet name="對照日整理選擇權報價" sheetId="16" state="hidden" r:id="rId5"/>
    <sheet name="最新日整理選擇權報價" sheetId="15" state="hidden" r:id="rId6"/>
    <sheet name="對照日期貨三大法人" sheetId="1" state="hidden" r:id="rId7"/>
    <sheet name="最新日期貨三大法人" sheetId="3" state="hidden" r:id="rId8"/>
    <sheet name="對照日期貨報價" sheetId="8" state="hidden" r:id="rId9"/>
    <sheet name="最新日期貨報價" sheetId="9" state="hidden" r:id="rId10"/>
    <sheet name="對照日選擇權三大法人" sheetId="2" state="hidden" r:id="rId11"/>
    <sheet name="最新日選擇權三大法人" sheetId="4" state="hidden" r:id="rId12"/>
    <sheet name="對照日選擇權報價" sheetId="6" state="hidden" r:id="rId13"/>
    <sheet name="最新日選擇權報價" sheetId="7" state="hidden" r:id="rId14"/>
  </sheets>
  <externalReferences>
    <externalReference r:id="rId15"/>
  </externalReferences>
  <definedNames>
    <definedName name="_xlnm._FilterDatabase" localSheetId="5" hidden="1">最新日整理選擇權報價!$A$1:$I$312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3" i="10" l="1"/>
  <c r="C1" i="11" l="1"/>
  <c r="C1" i="10"/>
  <c r="G5" i="11"/>
  <c r="Y10" i="11" l="1"/>
  <c r="X10" i="11"/>
  <c r="W10" i="11"/>
  <c r="T10" i="11"/>
  <c r="S10" i="11"/>
  <c r="P10" i="11"/>
  <c r="M10" i="11"/>
  <c r="L10" i="11"/>
  <c r="K10" i="11"/>
  <c r="H10" i="11"/>
  <c r="G10" i="11"/>
  <c r="D10" i="11"/>
  <c r="Y9" i="11"/>
  <c r="X9" i="11"/>
  <c r="W9" i="11"/>
  <c r="T9" i="11"/>
  <c r="S9" i="11"/>
  <c r="P9" i="11"/>
  <c r="M9" i="11"/>
  <c r="L9" i="11"/>
  <c r="K9" i="11"/>
  <c r="H9" i="11"/>
  <c r="G9" i="11"/>
  <c r="D9" i="11"/>
  <c r="Y8" i="11"/>
  <c r="X8" i="11"/>
  <c r="W8" i="11"/>
  <c r="T8" i="11"/>
  <c r="S8" i="11"/>
  <c r="P8" i="11"/>
  <c r="M8" i="11"/>
  <c r="L8" i="11"/>
  <c r="K8" i="11"/>
  <c r="H8" i="11"/>
  <c r="G8" i="11"/>
  <c r="D8" i="11"/>
  <c r="Y7" i="11"/>
  <c r="X7" i="11"/>
  <c r="W7" i="11"/>
  <c r="T7" i="11"/>
  <c r="S7" i="11"/>
  <c r="P7" i="11"/>
  <c r="M7" i="11"/>
  <c r="L7" i="11"/>
  <c r="K7" i="11"/>
  <c r="H7" i="11"/>
  <c r="G7" i="11"/>
  <c r="D7" i="11"/>
  <c r="Y6" i="11"/>
  <c r="X6" i="11"/>
  <c r="W6" i="11"/>
  <c r="T6" i="11"/>
  <c r="S6" i="11"/>
  <c r="P6" i="11"/>
  <c r="M6" i="11"/>
  <c r="L6" i="11"/>
  <c r="K6" i="11"/>
  <c r="H6" i="11"/>
  <c r="G6" i="11"/>
  <c r="D6" i="11"/>
  <c r="Y5" i="11"/>
  <c r="X5" i="11"/>
  <c r="W5" i="11"/>
  <c r="T5" i="11"/>
  <c r="S5" i="11"/>
  <c r="P5" i="11"/>
  <c r="M5" i="11"/>
  <c r="L5" i="11"/>
  <c r="K5" i="11"/>
  <c r="H5" i="11"/>
  <c r="D5" i="11"/>
  <c r="E5" i="11" s="1"/>
  <c r="F5" i="11" s="1"/>
  <c r="Y10" i="10"/>
  <c r="X10" i="10"/>
  <c r="W10" i="10"/>
  <c r="T10" i="10"/>
  <c r="S10" i="10"/>
  <c r="P10" i="10"/>
  <c r="M10" i="10"/>
  <c r="L10" i="10"/>
  <c r="K10" i="10"/>
  <c r="H10" i="10"/>
  <c r="G10" i="10"/>
  <c r="D10" i="10"/>
  <c r="Y9" i="10"/>
  <c r="X9" i="10"/>
  <c r="W9" i="10"/>
  <c r="T9" i="10"/>
  <c r="S9" i="10"/>
  <c r="P9" i="10"/>
  <c r="M9" i="10"/>
  <c r="L9" i="10"/>
  <c r="K9" i="10"/>
  <c r="H9" i="10"/>
  <c r="G9" i="10"/>
  <c r="D9" i="10"/>
  <c r="Y8" i="10"/>
  <c r="X8" i="10"/>
  <c r="W8" i="10"/>
  <c r="T8" i="10"/>
  <c r="S8" i="10"/>
  <c r="P8" i="10"/>
  <c r="M8" i="10"/>
  <c r="L8" i="10"/>
  <c r="K8" i="10"/>
  <c r="H8" i="10"/>
  <c r="G8" i="10"/>
  <c r="D8" i="10"/>
  <c r="Y7" i="10"/>
  <c r="X7" i="10"/>
  <c r="W7" i="10"/>
  <c r="T7" i="10"/>
  <c r="S7" i="10"/>
  <c r="P7" i="10"/>
  <c r="M7" i="10"/>
  <c r="L7" i="10"/>
  <c r="K7" i="10"/>
  <c r="H7" i="10"/>
  <c r="G7" i="10"/>
  <c r="D7" i="10"/>
  <c r="Y6" i="10"/>
  <c r="X6" i="10"/>
  <c r="W6" i="10"/>
  <c r="T6" i="10"/>
  <c r="S6" i="10"/>
  <c r="P6" i="10"/>
  <c r="M6" i="10"/>
  <c r="L6" i="10"/>
  <c r="K6" i="10"/>
  <c r="H6" i="10"/>
  <c r="G6" i="10"/>
  <c r="D6" i="10"/>
  <c r="Y5" i="10"/>
  <c r="X5" i="10"/>
  <c r="W5" i="10"/>
  <c r="T5" i="10"/>
  <c r="S5" i="10"/>
  <c r="P5" i="10"/>
  <c r="M5" i="10"/>
  <c r="L5" i="10"/>
  <c r="K5" i="10"/>
  <c r="H5" i="10"/>
  <c r="G5" i="10"/>
  <c r="D5" i="10"/>
  <c r="D2" i="5"/>
  <c r="A63" i="11" s="1"/>
  <c r="Y62" i="11"/>
  <c r="X62" i="11"/>
  <c r="D143" i="12" s="1"/>
  <c r="B143" i="12" s="1"/>
  <c r="W62" i="11"/>
  <c r="T62" i="11"/>
  <c r="S62" i="11"/>
  <c r="P62" i="11"/>
  <c r="M62" i="11"/>
  <c r="L62" i="11"/>
  <c r="K62" i="11"/>
  <c r="H62" i="11"/>
  <c r="G62" i="11"/>
  <c r="D62" i="11"/>
  <c r="Y61" i="11"/>
  <c r="X61" i="11"/>
  <c r="W61" i="11"/>
  <c r="T61" i="11"/>
  <c r="S61" i="11"/>
  <c r="P61" i="11"/>
  <c r="M61" i="11"/>
  <c r="L61" i="11"/>
  <c r="O61" i="11" s="1"/>
  <c r="K61" i="11"/>
  <c r="H61" i="11"/>
  <c r="G61" i="11"/>
  <c r="D61" i="11"/>
  <c r="Y60" i="11"/>
  <c r="X60" i="11"/>
  <c r="D141" i="12" s="1"/>
  <c r="B141" i="12" s="1"/>
  <c r="W60" i="11"/>
  <c r="T60" i="11"/>
  <c r="S60" i="11"/>
  <c r="P60" i="11"/>
  <c r="M60" i="11"/>
  <c r="L60" i="11"/>
  <c r="K60" i="11"/>
  <c r="H60" i="11"/>
  <c r="G60" i="11"/>
  <c r="D60" i="11"/>
  <c r="Y59" i="11"/>
  <c r="X59" i="11"/>
  <c r="D140" i="12" s="1"/>
  <c r="B140" i="12" s="1"/>
  <c r="W59" i="11"/>
  <c r="T59" i="11"/>
  <c r="S59" i="11"/>
  <c r="P59" i="11"/>
  <c r="M59" i="11"/>
  <c r="L59" i="11"/>
  <c r="K59" i="11"/>
  <c r="H59" i="11"/>
  <c r="G59" i="11"/>
  <c r="D59" i="11"/>
  <c r="Y58" i="11"/>
  <c r="X58" i="11"/>
  <c r="W58" i="11"/>
  <c r="T58" i="11"/>
  <c r="S58" i="11"/>
  <c r="P58" i="11"/>
  <c r="M58" i="11"/>
  <c r="L58" i="11"/>
  <c r="O58" i="11" s="1"/>
  <c r="K58" i="11"/>
  <c r="H58" i="11"/>
  <c r="G58" i="11"/>
  <c r="D58" i="11"/>
  <c r="Y57" i="11"/>
  <c r="X57" i="11"/>
  <c r="D138" i="12" s="1"/>
  <c r="B138" i="12" s="1"/>
  <c r="W57" i="11"/>
  <c r="T57" i="11"/>
  <c r="S57" i="11"/>
  <c r="P57" i="11"/>
  <c r="M57" i="11"/>
  <c r="L57" i="11"/>
  <c r="K57" i="11"/>
  <c r="H57" i="11"/>
  <c r="G57" i="11"/>
  <c r="D57" i="11"/>
  <c r="Y56" i="11"/>
  <c r="X56" i="11"/>
  <c r="D137" i="12" s="1"/>
  <c r="B137" i="12" s="1"/>
  <c r="W56" i="11"/>
  <c r="T56" i="11"/>
  <c r="S56" i="11"/>
  <c r="P56" i="11"/>
  <c r="M56" i="11"/>
  <c r="L56" i="11"/>
  <c r="K56" i="11"/>
  <c r="H56" i="11"/>
  <c r="G56" i="11"/>
  <c r="D56" i="11"/>
  <c r="Y55" i="11"/>
  <c r="X55" i="11"/>
  <c r="W55" i="11"/>
  <c r="T55" i="11"/>
  <c r="S55" i="11"/>
  <c r="P55" i="11"/>
  <c r="M55" i="11"/>
  <c r="L55" i="11"/>
  <c r="O55" i="11" s="1"/>
  <c r="K55" i="11"/>
  <c r="H55" i="11"/>
  <c r="G55" i="11"/>
  <c r="D55" i="11"/>
  <c r="Y54" i="11"/>
  <c r="X54" i="11"/>
  <c r="D135" i="12" s="1"/>
  <c r="B135" i="12" s="1"/>
  <c r="W54" i="11"/>
  <c r="T54" i="11"/>
  <c r="S54" i="11"/>
  <c r="P54" i="11"/>
  <c r="M54" i="11"/>
  <c r="L54" i="11"/>
  <c r="K54" i="11"/>
  <c r="H54" i="11"/>
  <c r="G54" i="11"/>
  <c r="D54" i="11"/>
  <c r="Y53" i="11"/>
  <c r="X53" i="11"/>
  <c r="D134" i="12" s="1"/>
  <c r="B134" i="12" s="1"/>
  <c r="W53" i="11"/>
  <c r="T53" i="11"/>
  <c r="S53" i="11"/>
  <c r="P53" i="11"/>
  <c r="M53" i="11"/>
  <c r="L53" i="11"/>
  <c r="K53" i="11"/>
  <c r="H53" i="11"/>
  <c r="G53" i="11"/>
  <c r="D53" i="11"/>
  <c r="Y52" i="11"/>
  <c r="X52" i="11"/>
  <c r="W52" i="11"/>
  <c r="T52" i="11"/>
  <c r="S52" i="11"/>
  <c r="P52" i="11"/>
  <c r="M52" i="11"/>
  <c r="L52" i="11"/>
  <c r="O52" i="11" s="1"/>
  <c r="K52" i="11"/>
  <c r="H52" i="11"/>
  <c r="G52" i="11"/>
  <c r="D52" i="11"/>
  <c r="Y51" i="11"/>
  <c r="X51" i="11"/>
  <c r="D132" i="12" s="1"/>
  <c r="B132" i="12" s="1"/>
  <c r="W51" i="11"/>
  <c r="T51" i="11"/>
  <c r="S51" i="11"/>
  <c r="P51" i="11"/>
  <c r="M51" i="11"/>
  <c r="L51" i="11"/>
  <c r="K51" i="11"/>
  <c r="H51" i="11"/>
  <c r="G51" i="11"/>
  <c r="D51" i="11"/>
  <c r="Y50" i="11"/>
  <c r="X50" i="11"/>
  <c r="D131" i="12" s="1"/>
  <c r="B131" i="12" s="1"/>
  <c r="W50" i="11"/>
  <c r="T50" i="11"/>
  <c r="S50" i="11"/>
  <c r="P50" i="11"/>
  <c r="M50" i="11"/>
  <c r="L50" i="11"/>
  <c r="O50" i="11" s="1"/>
  <c r="K50" i="11"/>
  <c r="H50" i="11"/>
  <c r="G50" i="11"/>
  <c r="D50" i="11"/>
  <c r="Y49" i="11"/>
  <c r="X49" i="11"/>
  <c r="D130" i="12" s="1"/>
  <c r="B130" i="12" s="1"/>
  <c r="W49" i="11"/>
  <c r="T49" i="11"/>
  <c r="S49" i="11"/>
  <c r="P49" i="11"/>
  <c r="M49" i="11"/>
  <c r="L49" i="11"/>
  <c r="O49" i="11" s="1"/>
  <c r="K49" i="11"/>
  <c r="H49" i="11"/>
  <c r="G49" i="11"/>
  <c r="D49" i="11"/>
  <c r="Y48" i="11"/>
  <c r="X48" i="11"/>
  <c r="D129" i="12" s="1"/>
  <c r="B129" i="12" s="1"/>
  <c r="W48" i="11"/>
  <c r="T48" i="11"/>
  <c r="S48" i="11"/>
  <c r="P48" i="11"/>
  <c r="M48" i="11"/>
  <c r="L48" i="11"/>
  <c r="O48" i="11" s="1"/>
  <c r="K48" i="11"/>
  <c r="H48" i="11"/>
  <c r="G48" i="11"/>
  <c r="D48" i="11"/>
  <c r="Y47" i="11"/>
  <c r="X47" i="11"/>
  <c r="D128" i="12" s="1"/>
  <c r="B128" i="12" s="1"/>
  <c r="W47" i="11"/>
  <c r="T47" i="11"/>
  <c r="S47" i="11"/>
  <c r="P47" i="11"/>
  <c r="M47" i="11"/>
  <c r="L47" i="11"/>
  <c r="K47" i="11"/>
  <c r="H47" i="11"/>
  <c r="G47" i="11"/>
  <c r="D47" i="11"/>
  <c r="Y46" i="11"/>
  <c r="X46" i="11"/>
  <c r="D127" i="12" s="1"/>
  <c r="B127" i="12" s="1"/>
  <c r="W46" i="11"/>
  <c r="T46" i="11"/>
  <c r="S46" i="11"/>
  <c r="P46" i="11"/>
  <c r="M46" i="11"/>
  <c r="L46" i="11"/>
  <c r="O46" i="11" s="1"/>
  <c r="K46" i="11"/>
  <c r="H46" i="11"/>
  <c r="G46" i="11"/>
  <c r="D46" i="11"/>
  <c r="Y45" i="11"/>
  <c r="X45" i="11"/>
  <c r="D126" i="12" s="1"/>
  <c r="B126" i="12" s="1"/>
  <c r="W45" i="11"/>
  <c r="T45" i="11"/>
  <c r="S45" i="11"/>
  <c r="P45" i="11"/>
  <c r="M45" i="11"/>
  <c r="L45" i="11"/>
  <c r="K45" i="11"/>
  <c r="H45" i="11"/>
  <c r="G45" i="11"/>
  <c r="D45" i="11"/>
  <c r="Y44" i="11"/>
  <c r="X44" i="11"/>
  <c r="D125" i="12" s="1"/>
  <c r="B125" i="12" s="1"/>
  <c r="W44" i="11"/>
  <c r="T44" i="11"/>
  <c r="S44" i="11"/>
  <c r="P44" i="11"/>
  <c r="M44" i="11"/>
  <c r="L44" i="11"/>
  <c r="K44" i="11"/>
  <c r="H44" i="11"/>
  <c r="G44" i="11"/>
  <c r="D44" i="11"/>
  <c r="Y43" i="11"/>
  <c r="X43" i="11"/>
  <c r="D124" i="12" s="1"/>
  <c r="B124" i="12" s="1"/>
  <c r="W43" i="11"/>
  <c r="T43" i="11"/>
  <c r="S43" i="11"/>
  <c r="P43" i="11"/>
  <c r="M43" i="11"/>
  <c r="L43" i="11"/>
  <c r="O43" i="11" s="1"/>
  <c r="K43" i="11"/>
  <c r="H43" i="11"/>
  <c r="G43" i="11"/>
  <c r="D43" i="11"/>
  <c r="Y42" i="11"/>
  <c r="X42" i="11"/>
  <c r="D123" i="12" s="1"/>
  <c r="B123" i="12" s="1"/>
  <c r="W42" i="11"/>
  <c r="T42" i="11"/>
  <c r="S42" i="11"/>
  <c r="P42" i="11"/>
  <c r="M42" i="11"/>
  <c r="L42" i="11"/>
  <c r="K42" i="11"/>
  <c r="H42" i="11"/>
  <c r="G42" i="11"/>
  <c r="D42" i="11"/>
  <c r="Y41" i="11"/>
  <c r="X41" i="11"/>
  <c r="W41" i="11"/>
  <c r="T41" i="11"/>
  <c r="S41" i="11"/>
  <c r="P41" i="11"/>
  <c r="M41" i="11"/>
  <c r="L41" i="11"/>
  <c r="O41" i="11" s="1"/>
  <c r="K41" i="11"/>
  <c r="H41" i="11"/>
  <c r="G41" i="11"/>
  <c r="D41" i="11"/>
  <c r="Y40" i="11"/>
  <c r="X40" i="11"/>
  <c r="W40" i="11"/>
  <c r="T40" i="11"/>
  <c r="S40" i="11"/>
  <c r="P40" i="11"/>
  <c r="M40" i="11"/>
  <c r="L40" i="11"/>
  <c r="O40" i="11" s="1"/>
  <c r="K40" i="11"/>
  <c r="H40" i="11"/>
  <c r="G40" i="11"/>
  <c r="D40" i="11"/>
  <c r="Y39" i="11"/>
  <c r="X39" i="11"/>
  <c r="W39" i="11"/>
  <c r="T39" i="11"/>
  <c r="S39" i="11"/>
  <c r="P39" i="11"/>
  <c r="M39" i="11"/>
  <c r="L39" i="11"/>
  <c r="K39" i="11"/>
  <c r="H39" i="11"/>
  <c r="G39" i="11"/>
  <c r="D39" i="11"/>
  <c r="Y38" i="11"/>
  <c r="X38" i="11"/>
  <c r="W38" i="11"/>
  <c r="T38" i="11"/>
  <c r="S38" i="11"/>
  <c r="P38" i="11"/>
  <c r="M38" i="11"/>
  <c r="L38" i="11"/>
  <c r="K38" i="11"/>
  <c r="H38" i="11"/>
  <c r="G38" i="11"/>
  <c r="D38" i="11"/>
  <c r="Y37" i="11"/>
  <c r="X37" i="11"/>
  <c r="W37" i="11"/>
  <c r="T37" i="11"/>
  <c r="S37" i="11"/>
  <c r="P37" i="11"/>
  <c r="M37" i="11"/>
  <c r="L37" i="11"/>
  <c r="O37" i="11" s="1"/>
  <c r="K37" i="11"/>
  <c r="H37" i="11"/>
  <c r="G37" i="11"/>
  <c r="D37" i="11"/>
  <c r="Y36" i="11"/>
  <c r="X36" i="11"/>
  <c r="W36" i="11"/>
  <c r="T36" i="11"/>
  <c r="S36" i="11"/>
  <c r="P36" i="11"/>
  <c r="M36" i="11"/>
  <c r="L36" i="11"/>
  <c r="K36" i="11"/>
  <c r="H36" i="11"/>
  <c r="G36" i="11"/>
  <c r="D36" i="11"/>
  <c r="Y35" i="11"/>
  <c r="X35" i="11"/>
  <c r="D116" i="12" s="1"/>
  <c r="B116" i="12" s="1"/>
  <c r="W35" i="11"/>
  <c r="T35" i="11"/>
  <c r="S35" i="11"/>
  <c r="P35" i="11"/>
  <c r="M35" i="11"/>
  <c r="L35" i="11"/>
  <c r="K35" i="11"/>
  <c r="H35" i="11"/>
  <c r="G35" i="11"/>
  <c r="D35" i="11"/>
  <c r="Y34" i="11"/>
  <c r="X34" i="11"/>
  <c r="W34" i="11"/>
  <c r="T34" i="11"/>
  <c r="S34" i="11"/>
  <c r="P34" i="11"/>
  <c r="M34" i="11"/>
  <c r="L34" i="11"/>
  <c r="O34" i="11" s="1"/>
  <c r="K34" i="11"/>
  <c r="H34" i="11"/>
  <c r="G34" i="11"/>
  <c r="D34" i="11"/>
  <c r="Y33" i="11"/>
  <c r="X33" i="11"/>
  <c r="D114" i="12" s="1"/>
  <c r="B114" i="12" s="1"/>
  <c r="W33" i="11"/>
  <c r="T33" i="11"/>
  <c r="S33" i="11"/>
  <c r="P33" i="11"/>
  <c r="M33" i="11"/>
  <c r="L33" i="11"/>
  <c r="K33" i="11"/>
  <c r="H33" i="11"/>
  <c r="G33" i="11"/>
  <c r="D33" i="11"/>
  <c r="Y32" i="11"/>
  <c r="X32" i="11"/>
  <c r="W32" i="11"/>
  <c r="T32" i="11"/>
  <c r="S32" i="11"/>
  <c r="P32" i="11"/>
  <c r="M32" i="11"/>
  <c r="L32" i="11"/>
  <c r="O32" i="11" s="1"/>
  <c r="K32" i="11"/>
  <c r="H32" i="11"/>
  <c r="G32" i="11"/>
  <c r="D32" i="11"/>
  <c r="Y31" i="11"/>
  <c r="X31" i="11"/>
  <c r="Z31" i="11" s="1"/>
  <c r="C112" i="12" s="1"/>
  <c r="W31" i="11"/>
  <c r="T31" i="11"/>
  <c r="S31" i="11"/>
  <c r="P31" i="11"/>
  <c r="M31" i="11"/>
  <c r="L31" i="11"/>
  <c r="O31" i="11" s="1"/>
  <c r="K31" i="11"/>
  <c r="H31" i="11"/>
  <c r="G31" i="11"/>
  <c r="D31" i="11"/>
  <c r="Y30" i="11"/>
  <c r="X30" i="11"/>
  <c r="D111" i="12" s="1"/>
  <c r="B111" i="12" s="1"/>
  <c r="W30" i="11"/>
  <c r="T30" i="11"/>
  <c r="S30" i="11"/>
  <c r="P30" i="11"/>
  <c r="M30" i="11"/>
  <c r="L30" i="11"/>
  <c r="K30" i="11"/>
  <c r="H30" i="11"/>
  <c r="G30" i="11"/>
  <c r="D30" i="11"/>
  <c r="Y29" i="11"/>
  <c r="X29" i="11"/>
  <c r="W29" i="11"/>
  <c r="T29" i="11"/>
  <c r="S29" i="11"/>
  <c r="P29" i="11"/>
  <c r="M29" i="11"/>
  <c r="L29" i="11"/>
  <c r="K29" i="11"/>
  <c r="H29" i="11"/>
  <c r="G29" i="11"/>
  <c r="D29" i="11"/>
  <c r="Y28" i="11"/>
  <c r="X28" i="11"/>
  <c r="W28" i="11"/>
  <c r="T28" i="11"/>
  <c r="S28" i="11"/>
  <c r="P28" i="11"/>
  <c r="M28" i="11"/>
  <c r="L28" i="11"/>
  <c r="O28" i="11" s="1"/>
  <c r="K28" i="11"/>
  <c r="H28" i="11"/>
  <c r="G28" i="11"/>
  <c r="D28" i="11"/>
  <c r="Y27" i="11"/>
  <c r="X27" i="11"/>
  <c r="W27" i="11"/>
  <c r="T27" i="11"/>
  <c r="S27" i="11"/>
  <c r="P27" i="11"/>
  <c r="M27" i="11"/>
  <c r="L27" i="11"/>
  <c r="K27" i="11"/>
  <c r="H27" i="11"/>
  <c r="G27" i="11"/>
  <c r="D27" i="11"/>
  <c r="Y26" i="11"/>
  <c r="X26" i="11"/>
  <c r="W26" i="11"/>
  <c r="T26" i="11"/>
  <c r="S26" i="11"/>
  <c r="P26" i="11"/>
  <c r="M26" i="11"/>
  <c r="L26" i="11"/>
  <c r="K26" i="11"/>
  <c r="H26" i="11"/>
  <c r="G26" i="11"/>
  <c r="D26" i="11"/>
  <c r="Y25" i="11"/>
  <c r="X25" i="11"/>
  <c r="W25" i="11"/>
  <c r="T25" i="11"/>
  <c r="S25" i="11"/>
  <c r="P25" i="11"/>
  <c r="M25" i="11"/>
  <c r="L25" i="11"/>
  <c r="K25" i="11"/>
  <c r="H25" i="11"/>
  <c r="G25" i="11"/>
  <c r="D25" i="11"/>
  <c r="Y24" i="11"/>
  <c r="X24" i="11"/>
  <c r="W24" i="11"/>
  <c r="T24" i="11"/>
  <c r="S24" i="11"/>
  <c r="P24" i="11"/>
  <c r="M24" i="11"/>
  <c r="L24" i="11"/>
  <c r="K24" i="11"/>
  <c r="H24" i="11"/>
  <c r="G24" i="11"/>
  <c r="D24" i="11"/>
  <c r="Y23" i="11"/>
  <c r="X23" i="11"/>
  <c r="W23" i="11"/>
  <c r="T23" i="11"/>
  <c r="S23" i="11"/>
  <c r="P23" i="11"/>
  <c r="M23" i="11"/>
  <c r="L23" i="11"/>
  <c r="K23" i="11"/>
  <c r="H23" i="11"/>
  <c r="G23" i="11"/>
  <c r="D23" i="11"/>
  <c r="Y22" i="11"/>
  <c r="X22" i="11"/>
  <c r="W22" i="11"/>
  <c r="T22" i="11"/>
  <c r="S22" i="11"/>
  <c r="P22" i="11"/>
  <c r="M22" i="11"/>
  <c r="L22" i="11"/>
  <c r="O22" i="11" s="1"/>
  <c r="K22" i="11"/>
  <c r="H22" i="11"/>
  <c r="G22" i="11"/>
  <c r="D22" i="11"/>
  <c r="Y21" i="11"/>
  <c r="X21" i="11"/>
  <c r="W21" i="11"/>
  <c r="T21" i="11"/>
  <c r="S21" i="11"/>
  <c r="P21" i="11"/>
  <c r="M21" i="11"/>
  <c r="L21" i="11"/>
  <c r="K21" i="11"/>
  <c r="H21" i="11"/>
  <c r="G21" i="11"/>
  <c r="D21" i="11"/>
  <c r="Y20" i="11"/>
  <c r="X20" i="11"/>
  <c r="W20" i="11"/>
  <c r="T20" i="11"/>
  <c r="S20" i="11"/>
  <c r="P20" i="11"/>
  <c r="M20" i="11"/>
  <c r="L20" i="11"/>
  <c r="K20" i="11"/>
  <c r="H20" i="11"/>
  <c r="G20" i="11"/>
  <c r="D20" i="11"/>
  <c r="Y19" i="11"/>
  <c r="X19" i="11"/>
  <c r="W19" i="11"/>
  <c r="T19" i="11"/>
  <c r="S19" i="11"/>
  <c r="P19" i="11"/>
  <c r="M19" i="11"/>
  <c r="L19" i="11"/>
  <c r="K19" i="11"/>
  <c r="H19" i="11"/>
  <c r="G19" i="11"/>
  <c r="D19" i="11"/>
  <c r="Y18" i="11"/>
  <c r="X18" i="11"/>
  <c r="W18" i="11"/>
  <c r="T18" i="11"/>
  <c r="S18" i="11"/>
  <c r="P18" i="11"/>
  <c r="M18" i="11"/>
  <c r="L18" i="11"/>
  <c r="K18" i="11"/>
  <c r="H18" i="11"/>
  <c r="G18" i="11"/>
  <c r="D18" i="11"/>
  <c r="Y17" i="11"/>
  <c r="X17" i="11"/>
  <c r="W17" i="11"/>
  <c r="T17" i="11"/>
  <c r="S17" i="11"/>
  <c r="P17" i="11"/>
  <c r="M17" i="11"/>
  <c r="L17" i="11"/>
  <c r="K17" i="11"/>
  <c r="H17" i="11"/>
  <c r="G17" i="11"/>
  <c r="D17" i="11"/>
  <c r="Y16" i="11"/>
  <c r="X16" i="11"/>
  <c r="W16" i="11"/>
  <c r="T16" i="11"/>
  <c r="S16" i="11"/>
  <c r="P16" i="11"/>
  <c r="M16" i="11"/>
  <c r="L16" i="11"/>
  <c r="K16" i="11"/>
  <c r="H16" i="11"/>
  <c r="G16" i="11"/>
  <c r="D16" i="11"/>
  <c r="Y15" i="11"/>
  <c r="X15" i="11"/>
  <c r="W15" i="11"/>
  <c r="T15" i="11"/>
  <c r="S15" i="11"/>
  <c r="P15" i="11"/>
  <c r="M15" i="11"/>
  <c r="L15" i="11"/>
  <c r="K15" i="11"/>
  <c r="H15" i="11"/>
  <c r="G15" i="11"/>
  <c r="D15" i="11"/>
  <c r="Y62" i="10"/>
  <c r="X62" i="10"/>
  <c r="D71" i="12" s="1"/>
  <c r="W62" i="10"/>
  <c r="T62" i="10"/>
  <c r="Y61" i="10"/>
  <c r="X61" i="10"/>
  <c r="W61" i="10"/>
  <c r="T61" i="10"/>
  <c r="Y60" i="10"/>
  <c r="X60" i="10"/>
  <c r="D69" i="12" s="1"/>
  <c r="W60" i="10"/>
  <c r="T60" i="10"/>
  <c r="Y59" i="10"/>
  <c r="X59" i="10"/>
  <c r="D68" i="12" s="1"/>
  <c r="W59" i="10"/>
  <c r="T59" i="10"/>
  <c r="Y58" i="10"/>
  <c r="X58" i="10"/>
  <c r="W58" i="10"/>
  <c r="T58" i="10"/>
  <c r="Y57" i="10"/>
  <c r="X57" i="10"/>
  <c r="D66" i="12" s="1"/>
  <c r="W57" i="10"/>
  <c r="T57" i="10"/>
  <c r="Y56" i="10"/>
  <c r="X56" i="10"/>
  <c r="D65" i="12" s="1"/>
  <c r="W56" i="10"/>
  <c r="T56" i="10"/>
  <c r="Y55" i="10"/>
  <c r="X55" i="10"/>
  <c r="W55" i="10"/>
  <c r="T55" i="10"/>
  <c r="Y54" i="10"/>
  <c r="X54" i="10"/>
  <c r="D63" i="12" s="1"/>
  <c r="W54" i="10"/>
  <c r="T54" i="10"/>
  <c r="Y53" i="10"/>
  <c r="X53" i="10"/>
  <c r="D62" i="12" s="1"/>
  <c r="W53" i="10"/>
  <c r="T53" i="10"/>
  <c r="Y52" i="10"/>
  <c r="X52" i="10"/>
  <c r="W52" i="10"/>
  <c r="T52" i="10"/>
  <c r="Y51" i="10"/>
  <c r="X51" i="10"/>
  <c r="D60" i="12" s="1"/>
  <c r="W51" i="10"/>
  <c r="T51" i="10"/>
  <c r="Y50" i="10"/>
  <c r="X50" i="10"/>
  <c r="D59" i="12" s="1"/>
  <c r="W50" i="10"/>
  <c r="T50" i="10"/>
  <c r="Y49" i="10"/>
  <c r="X49" i="10"/>
  <c r="D58" i="12" s="1"/>
  <c r="W49" i="10"/>
  <c r="T49" i="10"/>
  <c r="Y48" i="10"/>
  <c r="X48" i="10"/>
  <c r="D57" i="12" s="1"/>
  <c r="W48" i="10"/>
  <c r="T48" i="10"/>
  <c r="Y47" i="10"/>
  <c r="X47" i="10"/>
  <c r="D56" i="12" s="1"/>
  <c r="W47" i="10"/>
  <c r="T47" i="10"/>
  <c r="Y46" i="10"/>
  <c r="X46" i="10"/>
  <c r="D55" i="12" s="1"/>
  <c r="W46" i="10"/>
  <c r="T46" i="10"/>
  <c r="Y45" i="10"/>
  <c r="X45" i="10"/>
  <c r="D54" i="12" s="1"/>
  <c r="W45" i="10"/>
  <c r="Y44" i="10"/>
  <c r="X44" i="10"/>
  <c r="D53" i="12" s="1"/>
  <c r="W44" i="10"/>
  <c r="Y43" i="10"/>
  <c r="X43" i="10"/>
  <c r="D52" i="12" s="1"/>
  <c r="W43" i="10"/>
  <c r="Y42" i="10"/>
  <c r="X42" i="10"/>
  <c r="D51" i="12" s="1"/>
  <c r="W42" i="10"/>
  <c r="Y41" i="10"/>
  <c r="X41" i="10"/>
  <c r="W41" i="10"/>
  <c r="Y40" i="10"/>
  <c r="X40" i="10"/>
  <c r="W40" i="10"/>
  <c r="Y39" i="10"/>
  <c r="X39" i="10"/>
  <c r="W39" i="10"/>
  <c r="Y38" i="10"/>
  <c r="X38" i="10"/>
  <c r="W38" i="10"/>
  <c r="Y37" i="10"/>
  <c r="X37" i="10"/>
  <c r="W37" i="10"/>
  <c r="Y36" i="10"/>
  <c r="X36" i="10"/>
  <c r="W36" i="10"/>
  <c r="Y35" i="10"/>
  <c r="X35" i="10"/>
  <c r="D44" i="12" s="1"/>
  <c r="W35" i="10"/>
  <c r="Y34" i="10"/>
  <c r="X34" i="10"/>
  <c r="D43" i="12" s="1"/>
  <c r="W34" i="10"/>
  <c r="Y33" i="10"/>
  <c r="X33" i="10"/>
  <c r="D42" i="12" s="1"/>
  <c r="W33" i="10"/>
  <c r="Y32" i="10"/>
  <c r="X32" i="10"/>
  <c r="W32" i="10"/>
  <c r="Y31" i="10"/>
  <c r="X31" i="10"/>
  <c r="W31" i="10"/>
  <c r="Y30" i="10"/>
  <c r="X30" i="10"/>
  <c r="D39" i="12" s="1"/>
  <c r="W30" i="10"/>
  <c r="Y29" i="10"/>
  <c r="X29" i="10"/>
  <c r="W29" i="10"/>
  <c r="Y28" i="10"/>
  <c r="X28" i="10"/>
  <c r="W28" i="10"/>
  <c r="Y27" i="10"/>
  <c r="X27" i="10"/>
  <c r="W27" i="10"/>
  <c r="Y26" i="10"/>
  <c r="X26" i="10"/>
  <c r="W26" i="10"/>
  <c r="Y25" i="10"/>
  <c r="X25" i="10"/>
  <c r="W25" i="10"/>
  <c r="Y24" i="10"/>
  <c r="X24" i="10"/>
  <c r="W24" i="10"/>
  <c r="Y23" i="10"/>
  <c r="X23" i="10"/>
  <c r="W23" i="10"/>
  <c r="Y22" i="10"/>
  <c r="X22" i="10"/>
  <c r="W22" i="10"/>
  <c r="Y21" i="10"/>
  <c r="X21" i="10"/>
  <c r="W21" i="10"/>
  <c r="Y20" i="10"/>
  <c r="X20" i="10"/>
  <c r="W20" i="10"/>
  <c r="Y19" i="10"/>
  <c r="X19" i="10"/>
  <c r="W19" i="10"/>
  <c r="G19" i="10"/>
  <c r="Y18" i="10"/>
  <c r="X18" i="10"/>
  <c r="W18" i="10"/>
  <c r="Y17" i="10"/>
  <c r="X17" i="10"/>
  <c r="W17" i="10"/>
  <c r="Y16" i="10"/>
  <c r="X16" i="10"/>
  <c r="W16" i="10"/>
  <c r="Y15" i="10"/>
  <c r="X15" i="10"/>
  <c r="W15" i="10"/>
  <c r="T45" i="10"/>
  <c r="T44" i="10"/>
  <c r="T43" i="10"/>
  <c r="V43" i="10" s="1"/>
  <c r="T42" i="10"/>
  <c r="T41" i="10"/>
  <c r="T40" i="10"/>
  <c r="T39" i="10"/>
  <c r="V39" i="10" s="1"/>
  <c r="T38" i="10"/>
  <c r="T37" i="10"/>
  <c r="T36" i="10"/>
  <c r="T35" i="10"/>
  <c r="T34" i="10"/>
  <c r="T33" i="10"/>
  <c r="T32" i="10"/>
  <c r="T31" i="10"/>
  <c r="T30" i="10"/>
  <c r="T29" i="10"/>
  <c r="T28" i="10"/>
  <c r="T27" i="10"/>
  <c r="V27" i="10" s="1"/>
  <c r="T26" i="10"/>
  <c r="T25" i="10"/>
  <c r="T24" i="10"/>
  <c r="T23" i="10"/>
  <c r="V23" i="10" s="1"/>
  <c r="T22" i="10"/>
  <c r="T21" i="10"/>
  <c r="T20" i="10"/>
  <c r="T19" i="10"/>
  <c r="T18" i="10"/>
  <c r="T17" i="10"/>
  <c r="T16" i="10"/>
  <c r="T15" i="10"/>
  <c r="S62" i="10"/>
  <c r="S61" i="10"/>
  <c r="S60" i="10"/>
  <c r="S59" i="10"/>
  <c r="S58" i="10"/>
  <c r="S57" i="10"/>
  <c r="S56" i="10"/>
  <c r="S55" i="10"/>
  <c r="S54" i="10"/>
  <c r="S53" i="10"/>
  <c r="S52" i="10"/>
  <c r="S51" i="10"/>
  <c r="S50" i="10"/>
  <c r="S49" i="10"/>
  <c r="S48" i="10"/>
  <c r="S47" i="10"/>
  <c r="S46" i="10"/>
  <c r="S45" i="10"/>
  <c r="S44" i="10"/>
  <c r="S43" i="10"/>
  <c r="S42" i="10"/>
  <c r="S41" i="10"/>
  <c r="S40" i="10"/>
  <c r="S39" i="10"/>
  <c r="S38" i="10"/>
  <c r="S37" i="10"/>
  <c r="S36" i="10"/>
  <c r="S35" i="10"/>
  <c r="S34" i="10"/>
  <c r="S33" i="10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P62" i="10"/>
  <c r="P61" i="10"/>
  <c r="R61" i="10" s="1"/>
  <c r="P60" i="10"/>
  <c r="P59" i="10"/>
  <c r="P58" i="10"/>
  <c r="P57" i="10"/>
  <c r="R57" i="10" s="1"/>
  <c r="P56" i="10"/>
  <c r="P55" i="10"/>
  <c r="R55" i="10" s="1"/>
  <c r="P54" i="10"/>
  <c r="P53" i="10"/>
  <c r="R53" i="10" s="1"/>
  <c r="P52" i="10"/>
  <c r="P51" i="10"/>
  <c r="R51" i="10" s="1"/>
  <c r="P50" i="10"/>
  <c r="P49" i="10"/>
  <c r="P48" i="10"/>
  <c r="P47" i="10"/>
  <c r="P46" i="10"/>
  <c r="P45" i="10"/>
  <c r="R45" i="10" s="1"/>
  <c r="P44" i="10"/>
  <c r="P43" i="10"/>
  <c r="R43" i="10" s="1"/>
  <c r="P42" i="10"/>
  <c r="P41" i="10"/>
  <c r="P40" i="10"/>
  <c r="P39" i="10"/>
  <c r="P38" i="10"/>
  <c r="P37" i="10"/>
  <c r="R37" i="10" s="1"/>
  <c r="P36" i="10"/>
  <c r="P35" i="10"/>
  <c r="R35" i="10" s="1"/>
  <c r="P34" i="10"/>
  <c r="P33" i="10"/>
  <c r="P32" i="10"/>
  <c r="P31" i="10"/>
  <c r="R31" i="10" s="1"/>
  <c r="P30" i="10"/>
  <c r="P29" i="10"/>
  <c r="R29" i="10" s="1"/>
  <c r="P28" i="10"/>
  <c r="P27" i="10"/>
  <c r="P26" i="10"/>
  <c r="P25" i="10"/>
  <c r="R25" i="10" s="1"/>
  <c r="P24" i="10"/>
  <c r="P23" i="10"/>
  <c r="P22" i="10"/>
  <c r="P21" i="10"/>
  <c r="P20" i="10"/>
  <c r="P19" i="10"/>
  <c r="R19" i="10" s="1"/>
  <c r="P18" i="10"/>
  <c r="P17" i="10"/>
  <c r="P16" i="10"/>
  <c r="P15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L62" i="10"/>
  <c r="L61" i="10"/>
  <c r="O61" i="10" s="1"/>
  <c r="L60" i="10"/>
  <c r="L59" i="10"/>
  <c r="L58" i="10"/>
  <c r="O58" i="10" s="1"/>
  <c r="L57" i="10"/>
  <c r="L56" i="10"/>
  <c r="L55" i="10"/>
  <c r="O55" i="10" s="1"/>
  <c r="L54" i="10"/>
  <c r="L53" i="10"/>
  <c r="L52" i="10"/>
  <c r="O52" i="10" s="1"/>
  <c r="L51" i="10"/>
  <c r="L50" i="10"/>
  <c r="O50" i="10" s="1"/>
  <c r="L49" i="10"/>
  <c r="O49" i="10" s="1"/>
  <c r="L48" i="10"/>
  <c r="N48" i="10" s="1"/>
  <c r="L47" i="10"/>
  <c r="L46" i="10"/>
  <c r="N46" i="10" s="1"/>
  <c r="L45" i="10"/>
  <c r="L44" i="10"/>
  <c r="L43" i="10"/>
  <c r="O43" i="10" s="1"/>
  <c r="L42" i="10"/>
  <c r="L41" i="10"/>
  <c r="L40" i="10"/>
  <c r="O40" i="10" s="1"/>
  <c r="L39" i="10"/>
  <c r="L38" i="10"/>
  <c r="L37" i="10"/>
  <c r="L36" i="10"/>
  <c r="L35" i="10"/>
  <c r="L34" i="10"/>
  <c r="O34" i="10" s="1"/>
  <c r="L33" i="10"/>
  <c r="L32" i="10"/>
  <c r="N32" i="10" s="1"/>
  <c r="L31" i="10"/>
  <c r="N31" i="10" s="1"/>
  <c r="L30" i="10"/>
  <c r="L29" i="10"/>
  <c r="L28" i="10"/>
  <c r="O28" i="10" s="1"/>
  <c r="L27" i="10"/>
  <c r="L26" i="10"/>
  <c r="L25" i="10"/>
  <c r="L24" i="10"/>
  <c r="L23" i="10"/>
  <c r="L22" i="10"/>
  <c r="O22" i="10" s="1"/>
  <c r="L21" i="10"/>
  <c r="L20" i="10"/>
  <c r="L19" i="10"/>
  <c r="O19" i="10" s="1"/>
  <c r="L18" i="10"/>
  <c r="L17" i="10"/>
  <c r="L16" i="10"/>
  <c r="L15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H62" i="10"/>
  <c r="H61" i="10"/>
  <c r="J61" i="10" s="1"/>
  <c r="H60" i="10"/>
  <c r="H59" i="10"/>
  <c r="H58" i="10"/>
  <c r="H57" i="10"/>
  <c r="H56" i="10"/>
  <c r="H55" i="10"/>
  <c r="J55" i="10" s="1"/>
  <c r="H54" i="10"/>
  <c r="H53" i="10"/>
  <c r="H52" i="10"/>
  <c r="J52" i="10" s="1"/>
  <c r="H51" i="10"/>
  <c r="J51" i="10" s="1"/>
  <c r="H50" i="10"/>
  <c r="H49" i="10"/>
  <c r="H48" i="10"/>
  <c r="H47" i="10"/>
  <c r="J47" i="10" s="1"/>
  <c r="H46" i="10"/>
  <c r="J46" i="10" s="1"/>
  <c r="H45" i="10"/>
  <c r="J45" i="10" s="1"/>
  <c r="H44" i="10"/>
  <c r="J44" i="10" s="1"/>
  <c r="H43" i="10"/>
  <c r="J43" i="10" s="1"/>
  <c r="H42" i="10"/>
  <c r="J42" i="10" s="1"/>
  <c r="H41" i="10"/>
  <c r="J41" i="10" s="1"/>
  <c r="H40" i="10"/>
  <c r="J40" i="10" s="1"/>
  <c r="H39" i="10"/>
  <c r="H38" i="10"/>
  <c r="J38" i="10" s="1"/>
  <c r="H37" i="10"/>
  <c r="H36" i="10"/>
  <c r="H35" i="10"/>
  <c r="J35" i="10" s="1"/>
  <c r="H34" i="10"/>
  <c r="J34" i="10" s="1"/>
  <c r="H33" i="10"/>
  <c r="H32" i="10"/>
  <c r="H31" i="10"/>
  <c r="J31" i="10" s="1"/>
  <c r="H30" i="10"/>
  <c r="J30" i="10" s="1"/>
  <c r="H29" i="10"/>
  <c r="H28" i="10"/>
  <c r="J28" i="10" s="1"/>
  <c r="H27" i="10"/>
  <c r="J27" i="10" s="1"/>
  <c r="H26" i="10"/>
  <c r="H25" i="10"/>
  <c r="H24" i="10"/>
  <c r="H23" i="10"/>
  <c r="H22" i="10"/>
  <c r="H21" i="10"/>
  <c r="J21" i="10" s="1"/>
  <c r="H20" i="10"/>
  <c r="H19" i="10"/>
  <c r="H18" i="10"/>
  <c r="J18" i="10" s="1"/>
  <c r="H17" i="10"/>
  <c r="H16" i="10"/>
  <c r="H15" i="10"/>
  <c r="J15" i="10" s="1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8" i="10"/>
  <c r="G17" i="10"/>
  <c r="G16" i="10"/>
  <c r="G15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N47" i="10" l="1"/>
  <c r="F15" i="11"/>
  <c r="V15" i="11"/>
  <c r="F17" i="11"/>
  <c r="V17" i="11"/>
  <c r="Z17" i="11" s="1"/>
  <c r="C96" i="12" s="1"/>
  <c r="F19" i="11"/>
  <c r="V19" i="11"/>
  <c r="F21" i="11"/>
  <c r="V21" i="11"/>
  <c r="F23" i="11"/>
  <c r="V23" i="11"/>
  <c r="Z23" i="11" s="1"/>
  <c r="C107" i="12" s="1"/>
  <c r="F25" i="11"/>
  <c r="V25" i="11"/>
  <c r="F27" i="11"/>
  <c r="V27" i="11"/>
  <c r="F29" i="11"/>
  <c r="V29" i="11"/>
  <c r="F31" i="11"/>
  <c r="V31" i="11"/>
  <c r="F53" i="11"/>
  <c r="F55" i="11"/>
  <c r="R18" i="10"/>
  <c r="R60" i="11"/>
  <c r="D5" i="12"/>
  <c r="B5" i="12"/>
  <c r="B7" i="12"/>
  <c r="D7" i="12"/>
  <c r="C5" i="5"/>
  <c r="B16" i="12"/>
  <c r="D16" i="12"/>
  <c r="C7" i="5"/>
  <c r="B18" i="12"/>
  <c r="D18" i="12"/>
  <c r="C9" i="5"/>
  <c r="D20" i="12"/>
  <c r="B20" i="12"/>
  <c r="D7" i="5"/>
  <c r="B90" i="12"/>
  <c r="D90" i="12"/>
  <c r="I5" i="10"/>
  <c r="J5" i="10" s="1"/>
  <c r="Q6" i="10"/>
  <c r="R6" i="10" s="1"/>
  <c r="I7" i="10"/>
  <c r="J7" i="10" s="1"/>
  <c r="D74" i="12"/>
  <c r="B74" i="12"/>
  <c r="D76" i="12"/>
  <c r="B76" i="12"/>
  <c r="B78" i="12"/>
  <c r="D78" i="12"/>
  <c r="O6" i="10"/>
  <c r="D3" i="12"/>
  <c r="B3" i="12"/>
  <c r="D2" i="12"/>
  <c r="B2" i="12"/>
  <c r="B4" i="12"/>
  <c r="D4" i="12"/>
  <c r="B6" i="12"/>
  <c r="D6" i="12"/>
  <c r="D6" i="5"/>
  <c r="D89" i="12"/>
  <c r="B89" i="12"/>
  <c r="D8" i="5"/>
  <c r="B91" i="12"/>
  <c r="D91" i="12"/>
  <c r="D10" i="5"/>
  <c r="D93" i="12"/>
  <c r="B93" i="12"/>
  <c r="D5" i="5"/>
  <c r="D88" i="12"/>
  <c r="B88" i="12"/>
  <c r="D9" i="5"/>
  <c r="D92" i="12"/>
  <c r="B92" i="12"/>
  <c r="C6" i="5"/>
  <c r="D17" i="12"/>
  <c r="B17" i="12"/>
  <c r="C8" i="5"/>
  <c r="B19" i="12"/>
  <c r="D19" i="12"/>
  <c r="C10" i="5"/>
  <c r="B21" i="12"/>
  <c r="D21" i="12"/>
  <c r="O6" i="11"/>
  <c r="B75" i="12"/>
  <c r="D75" i="12"/>
  <c r="D77" i="12"/>
  <c r="B77" i="12"/>
  <c r="B79" i="12"/>
  <c r="D79" i="12"/>
  <c r="B12" i="12"/>
  <c r="D12" i="12"/>
  <c r="C17" i="5"/>
  <c r="B27" i="12"/>
  <c r="D27" i="12"/>
  <c r="C20" i="5"/>
  <c r="D31" i="12"/>
  <c r="C14" i="5"/>
  <c r="D24" i="12"/>
  <c r="B24" i="12"/>
  <c r="C24" i="5"/>
  <c r="D34" i="12"/>
  <c r="C33" i="5"/>
  <c r="D47" i="12"/>
  <c r="C16" i="5"/>
  <c r="B26" i="12"/>
  <c r="D26" i="12"/>
  <c r="C37" i="5"/>
  <c r="D50" i="12"/>
  <c r="AA52" i="10"/>
  <c r="D61" i="12"/>
  <c r="AA58" i="10"/>
  <c r="D67" i="12"/>
  <c r="AA34" i="10"/>
  <c r="B8" i="12"/>
  <c r="D8" i="12"/>
  <c r="C12" i="5"/>
  <c r="B22" i="12"/>
  <c r="D22" i="12"/>
  <c r="C21" i="5"/>
  <c r="D32" i="12"/>
  <c r="D19" i="5"/>
  <c r="D102" i="12"/>
  <c r="B102" i="12" s="1"/>
  <c r="D15" i="5"/>
  <c r="D97" i="12"/>
  <c r="B97" i="12"/>
  <c r="D28" i="5"/>
  <c r="D109" i="12"/>
  <c r="B109" i="12" s="1"/>
  <c r="AA32" i="11"/>
  <c r="D113" i="12"/>
  <c r="B113" i="12" s="1"/>
  <c r="AA34" i="11"/>
  <c r="D115" i="12"/>
  <c r="B115" i="12" s="1"/>
  <c r="D31" i="5"/>
  <c r="D117" i="12"/>
  <c r="B117" i="12" s="1"/>
  <c r="D36" i="5"/>
  <c r="D121" i="12"/>
  <c r="B121" i="12" s="1"/>
  <c r="AA52" i="11"/>
  <c r="D133" i="12"/>
  <c r="B133" i="12" s="1"/>
  <c r="AA58" i="11"/>
  <c r="D139" i="12"/>
  <c r="B139" i="12" s="1"/>
  <c r="D10" i="12"/>
  <c r="B10" i="12"/>
  <c r="C28" i="5"/>
  <c r="D37" i="12"/>
  <c r="C31" i="5"/>
  <c r="D45" i="12"/>
  <c r="D13" i="5"/>
  <c r="B95" i="12"/>
  <c r="D95" i="12"/>
  <c r="D21" i="5"/>
  <c r="D104" i="12"/>
  <c r="B104" i="12" s="1"/>
  <c r="D24" i="5"/>
  <c r="D106" i="12"/>
  <c r="B106" i="12" s="1"/>
  <c r="D17" i="5"/>
  <c r="D99" i="12"/>
  <c r="B99" i="12"/>
  <c r="D33" i="5"/>
  <c r="D119" i="12"/>
  <c r="B119" i="12" s="1"/>
  <c r="B9" i="12"/>
  <c r="D9" i="12"/>
  <c r="D11" i="12"/>
  <c r="B11" i="12"/>
  <c r="C19" i="5"/>
  <c r="D30" i="12"/>
  <c r="C25" i="5"/>
  <c r="D35" i="12"/>
  <c r="AA31" i="10"/>
  <c r="D40" i="12"/>
  <c r="C35" i="5"/>
  <c r="D48" i="12"/>
  <c r="J30" i="11"/>
  <c r="J62" i="11"/>
  <c r="O62" i="11" s="1"/>
  <c r="D81" i="12"/>
  <c r="B81" i="12"/>
  <c r="D83" i="12"/>
  <c r="B83" i="12"/>
  <c r="B85" i="12"/>
  <c r="D85" i="12"/>
  <c r="D13" i="12"/>
  <c r="B13" i="12"/>
  <c r="C13" i="5"/>
  <c r="D23" i="12"/>
  <c r="B23" i="12"/>
  <c r="C23" i="5"/>
  <c r="D33" i="12"/>
  <c r="C29" i="5"/>
  <c r="D38" i="12"/>
  <c r="C32" i="5"/>
  <c r="D46" i="12"/>
  <c r="AA55" i="10"/>
  <c r="D64" i="12"/>
  <c r="AA61" i="10"/>
  <c r="D70" i="12"/>
  <c r="V61" i="11"/>
  <c r="C15" i="5"/>
  <c r="D25" i="12"/>
  <c r="B25" i="12"/>
  <c r="AA32" i="10"/>
  <c r="D41" i="12"/>
  <c r="C36" i="5"/>
  <c r="D49" i="12"/>
  <c r="D12" i="5"/>
  <c r="D94" i="12"/>
  <c r="B94" i="12"/>
  <c r="D14" i="5"/>
  <c r="D96" i="12"/>
  <c r="B96" i="12"/>
  <c r="D20" i="5"/>
  <c r="D103" i="12"/>
  <c r="B103" i="12" s="1"/>
  <c r="D23" i="5"/>
  <c r="D105" i="12"/>
  <c r="B105" i="12" s="1"/>
  <c r="D25" i="5"/>
  <c r="D107" i="12"/>
  <c r="B107" i="12" s="1"/>
  <c r="D16" i="5"/>
  <c r="B98" i="12"/>
  <c r="D98" i="12"/>
  <c r="D27" i="5"/>
  <c r="D108" i="12"/>
  <c r="B108" i="12" s="1"/>
  <c r="D29" i="5"/>
  <c r="D110" i="12"/>
  <c r="B110" i="12" s="1"/>
  <c r="AA31" i="11"/>
  <c r="D112" i="12"/>
  <c r="B112" i="12" s="1"/>
  <c r="D32" i="5"/>
  <c r="D118" i="12"/>
  <c r="B118" i="12" s="1"/>
  <c r="D35" i="5"/>
  <c r="D120" i="12"/>
  <c r="B120" i="12" s="1"/>
  <c r="D37" i="5"/>
  <c r="D122" i="12"/>
  <c r="B122" i="12" s="1"/>
  <c r="AA55" i="11"/>
  <c r="D136" i="12"/>
  <c r="B136" i="12" s="1"/>
  <c r="AA61" i="11"/>
  <c r="D142" i="12"/>
  <c r="B142" i="12" s="1"/>
  <c r="C27" i="5"/>
  <c r="D36" i="12"/>
  <c r="B80" i="12"/>
  <c r="D80" i="12"/>
  <c r="D82" i="12"/>
  <c r="B82" i="12"/>
  <c r="D84" i="12"/>
  <c r="B84" i="12"/>
  <c r="E5" i="10"/>
  <c r="F5" i="10" s="1"/>
  <c r="Z55" i="11"/>
  <c r="C136" i="12" s="1"/>
  <c r="V16" i="11"/>
  <c r="AA16" i="11" s="1"/>
  <c r="F18" i="11"/>
  <c r="F20" i="11"/>
  <c r="O20" i="11" s="1"/>
  <c r="V22" i="11"/>
  <c r="F24" i="11"/>
  <c r="F26" i="11"/>
  <c r="V26" i="11"/>
  <c r="F30" i="11"/>
  <c r="F34" i="11"/>
  <c r="V34" i="11"/>
  <c r="V36" i="11"/>
  <c r="F40" i="11"/>
  <c r="F42" i="11"/>
  <c r="V44" i="11"/>
  <c r="F48" i="11"/>
  <c r="F50" i="11"/>
  <c r="V50" i="11"/>
  <c r="V56" i="11"/>
  <c r="J37" i="10"/>
  <c r="O37" i="10" s="1"/>
  <c r="J20" i="11"/>
  <c r="R31" i="11"/>
  <c r="R35" i="11"/>
  <c r="J40" i="11"/>
  <c r="R45" i="11"/>
  <c r="J46" i="11"/>
  <c r="J52" i="11"/>
  <c r="R55" i="11"/>
  <c r="R59" i="11"/>
  <c r="Q8" i="10"/>
  <c r="R8" i="10" s="1"/>
  <c r="F50" i="10"/>
  <c r="F62" i="11"/>
  <c r="V17" i="10"/>
  <c r="U5" i="11"/>
  <c r="E7" i="11"/>
  <c r="F7" i="11" s="1"/>
  <c r="O7" i="11" s="1"/>
  <c r="U7" i="11"/>
  <c r="V7" i="11" s="1"/>
  <c r="E9" i="11"/>
  <c r="F9" i="11" s="1"/>
  <c r="F25" i="10"/>
  <c r="F49" i="10"/>
  <c r="V29" i="10"/>
  <c r="V37" i="10"/>
  <c r="Z61" i="11"/>
  <c r="C142" i="12" s="1"/>
  <c r="F17" i="10"/>
  <c r="J58" i="10"/>
  <c r="R50" i="10"/>
  <c r="N22" i="10"/>
  <c r="V35" i="10"/>
  <c r="J26" i="11"/>
  <c r="N55" i="11"/>
  <c r="V46" i="10"/>
  <c r="F22" i="10"/>
  <c r="F62" i="10"/>
  <c r="E6" i="10"/>
  <c r="F6" i="10" s="1"/>
  <c r="U6" i="10"/>
  <c r="V6" i="10" s="1"/>
  <c r="E8" i="10"/>
  <c r="F8" i="10" s="1"/>
  <c r="U8" i="10"/>
  <c r="V8" i="10" s="1"/>
  <c r="E10" i="10"/>
  <c r="U10" i="10"/>
  <c r="V10" i="10" s="1"/>
  <c r="U9" i="11"/>
  <c r="R27" i="10"/>
  <c r="N50" i="10"/>
  <c r="V28" i="10"/>
  <c r="N34" i="10"/>
  <c r="F29" i="10"/>
  <c r="R21" i="10"/>
  <c r="V45" i="10"/>
  <c r="AA45" i="10" s="1"/>
  <c r="Q5" i="11"/>
  <c r="R5" i="11" s="1"/>
  <c r="N61" i="10"/>
  <c r="V62" i="11"/>
  <c r="J17" i="10"/>
  <c r="V41" i="10"/>
  <c r="AA41" i="10" s="1"/>
  <c r="V25" i="10"/>
  <c r="V19" i="10"/>
  <c r="N37" i="11"/>
  <c r="V18" i="10"/>
  <c r="F24" i="10"/>
  <c r="F32" i="10"/>
  <c r="F56" i="10"/>
  <c r="V21" i="10"/>
  <c r="AA21" i="10" s="1"/>
  <c r="R15" i="11"/>
  <c r="AA15" i="11" s="1"/>
  <c r="J16" i="11"/>
  <c r="R17" i="11"/>
  <c r="J18" i="11"/>
  <c r="N18" i="11" s="1"/>
  <c r="R19" i="11"/>
  <c r="Z19" i="11" s="1"/>
  <c r="C103" i="12" s="1"/>
  <c r="R21" i="11"/>
  <c r="Z21" i="11" s="1"/>
  <c r="C105" i="12" s="1"/>
  <c r="J22" i="11"/>
  <c r="R23" i="11"/>
  <c r="J24" i="11"/>
  <c r="O24" i="11" s="1"/>
  <c r="R25" i="11"/>
  <c r="Z25" i="11" s="1"/>
  <c r="C98" i="12" s="1"/>
  <c r="R27" i="11"/>
  <c r="Z27" i="11" s="1"/>
  <c r="C108" i="12" s="1"/>
  <c r="J28" i="11"/>
  <c r="R29" i="11"/>
  <c r="AA29" i="11" s="1"/>
  <c r="J32" i="11"/>
  <c r="R33" i="11"/>
  <c r="AA33" i="11" s="1"/>
  <c r="J34" i="11"/>
  <c r="J36" i="11"/>
  <c r="R37" i="11"/>
  <c r="Z37" i="11" s="1"/>
  <c r="C118" i="12" s="1"/>
  <c r="J38" i="11"/>
  <c r="R39" i="11"/>
  <c r="R41" i="11"/>
  <c r="J42" i="11"/>
  <c r="N42" i="11" s="1"/>
  <c r="R43" i="11"/>
  <c r="Z43" i="11" s="1"/>
  <c r="C124" i="12" s="1"/>
  <c r="J44" i="11"/>
  <c r="R47" i="11"/>
  <c r="J48" i="11"/>
  <c r="R49" i="11"/>
  <c r="Z49" i="11" s="1"/>
  <c r="C130" i="12" s="1"/>
  <c r="J50" i="11"/>
  <c r="R51" i="11"/>
  <c r="R53" i="11"/>
  <c r="J54" i="11"/>
  <c r="J56" i="11"/>
  <c r="R57" i="11"/>
  <c r="J58" i="11"/>
  <c r="J60" i="11"/>
  <c r="R61" i="11"/>
  <c r="F27" i="10"/>
  <c r="F51" i="10"/>
  <c r="F20" i="10"/>
  <c r="F28" i="10"/>
  <c r="F36" i="10"/>
  <c r="V50" i="10"/>
  <c r="V52" i="10"/>
  <c r="V54" i="10"/>
  <c r="AA54" i="10" s="1"/>
  <c r="V60" i="10"/>
  <c r="V62" i="10"/>
  <c r="AA40" i="10"/>
  <c r="F21" i="10"/>
  <c r="F37" i="10"/>
  <c r="F45" i="10"/>
  <c r="N45" i="10" s="1"/>
  <c r="F61" i="10"/>
  <c r="J17" i="11"/>
  <c r="O17" i="11" s="1"/>
  <c r="R18" i="11"/>
  <c r="AA18" i="11" s="1"/>
  <c r="R26" i="11"/>
  <c r="J27" i="11"/>
  <c r="R28" i="11"/>
  <c r="J29" i="11"/>
  <c r="N29" i="11" s="1"/>
  <c r="R30" i="11"/>
  <c r="J31" i="11"/>
  <c r="R32" i="11"/>
  <c r="J33" i="11"/>
  <c r="O33" i="11" s="1"/>
  <c r="R34" i="11"/>
  <c r="J35" i="11"/>
  <c r="R36" i="11"/>
  <c r="J37" i="11"/>
  <c r="R38" i="11"/>
  <c r="J39" i="11"/>
  <c r="R40" i="11"/>
  <c r="J41" i="11"/>
  <c r="R42" i="11"/>
  <c r="J43" i="11"/>
  <c r="R44" i="11"/>
  <c r="J45" i="11"/>
  <c r="R46" i="11"/>
  <c r="AA46" i="11" s="1"/>
  <c r="J47" i="11"/>
  <c r="R48" i="11"/>
  <c r="J49" i="11"/>
  <c r="R50" i="11"/>
  <c r="Z50" i="11" s="1"/>
  <c r="C131" i="12" s="1"/>
  <c r="J51" i="11"/>
  <c r="R52" i="11"/>
  <c r="J53" i="11"/>
  <c r="N53" i="11" s="1"/>
  <c r="R54" i="11"/>
  <c r="J55" i="11"/>
  <c r="R56" i="11"/>
  <c r="AA56" i="11" s="1"/>
  <c r="J57" i="11"/>
  <c r="R58" i="11"/>
  <c r="J59" i="11"/>
  <c r="O59" i="11" s="1"/>
  <c r="J61" i="11"/>
  <c r="Q5" i="10"/>
  <c r="R5" i="10" s="1"/>
  <c r="I6" i="10"/>
  <c r="J6" i="10" s="1"/>
  <c r="Q7" i="10"/>
  <c r="R7" i="10" s="1"/>
  <c r="I8" i="10"/>
  <c r="J8" i="10" s="1"/>
  <c r="N8" i="10" s="1"/>
  <c r="C5" i="12" s="1"/>
  <c r="Q9" i="10"/>
  <c r="R9" i="10" s="1"/>
  <c r="I10" i="10"/>
  <c r="J10" i="10" s="1"/>
  <c r="I5" i="11"/>
  <c r="J5" i="11" s="1"/>
  <c r="Q6" i="11"/>
  <c r="R6" i="11" s="1"/>
  <c r="I7" i="11"/>
  <c r="J7" i="11" s="1"/>
  <c r="Q8" i="11"/>
  <c r="R8" i="11" s="1"/>
  <c r="I9" i="11"/>
  <c r="J9" i="11" s="1"/>
  <c r="Q10" i="11"/>
  <c r="I9" i="10"/>
  <c r="J9" i="10" s="1"/>
  <c r="Q10" i="10"/>
  <c r="R10" i="10" s="1"/>
  <c r="U5" i="10"/>
  <c r="V5" i="10" s="1"/>
  <c r="E7" i="10"/>
  <c r="F7" i="10" s="1"/>
  <c r="U7" i="10"/>
  <c r="V7" i="10" s="1"/>
  <c r="E9" i="10"/>
  <c r="F9" i="10" s="1"/>
  <c r="U9" i="10"/>
  <c r="V9" i="10" s="1"/>
  <c r="E6" i="11"/>
  <c r="F6" i="11" s="1"/>
  <c r="U6" i="11"/>
  <c r="V6" i="11" s="1"/>
  <c r="E8" i="11"/>
  <c r="F8" i="11" s="1"/>
  <c r="U8" i="11"/>
  <c r="V8" i="11" s="1"/>
  <c r="E10" i="11"/>
  <c r="F10" i="11" s="1"/>
  <c r="U10" i="11"/>
  <c r="V10" i="11" s="1"/>
  <c r="I6" i="11"/>
  <c r="J6" i="11" s="1"/>
  <c r="Q7" i="11"/>
  <c r="I8" i="11"/>
  <c r="J8" i="11" s="1"/>
  <c r="Q9" i="11"/>
  <c r="R9" i="11" s="1"/>
  <c r="I10" i="11"/>
  <c r="J10" i="11" s="1"/>
  <c r="J39" i="10"/>
  <c r="R47" i="10"/>
  <c r="J56" i="10"/>
  <c r="R24" i="10"/>
  <c r="AA40" i="11"/>
  <c r="F15" i="10"/>
  <c r="J24" i="10"/>
  <c r="O24" i="10" s="1"/>
  <c r="AA28" i="11"/>
  <c r="AA36" i="11"/>
  <c r="V20" i="10"/>
  <c r="V44" i="10"/>
  <c r="F16" i="11"/>
  <c r="O16" i="11" s="1"/>
  <c r="V18" i="11"/>
  <c r="V20" i="11"/>
  <c r="F22" i="11"/>
  <c r="V24" i="11"/>
  <c r="F28" i="11"/>
  <c r="V28" i="11"/>
  <c r="V30" i="11"/>
  <c r="Z30" i="11" s="1"/>
  <c r="C111" i="12" s="1"/>
  <c r="A112" i="12" s="1"/>
  <c r="F32" i="11"/>
  <c r="V32" i="11"/>
  <c r="F36" i="11"/>
  <c r="O36" i="11" s="1"/>
  <c r="F38" i="11"/>
  <c r="V38" i="11"/>
  <c r="Z38" i="11" s="1"/>
  <c r="C119" i="12" s="1"/>
  <c r="A119" i="12" s="1"/>
  <c r="V40" i="11"/>
  <c r="V42" i="11"/>
  <c r="F44" i="11"/>
  <c r="O44" i="11" s="1"/>
  <c r="F46" i="11"/>
  <c r="V46" i="11"/>
  <c r="V48" i="11"/>
  <c r="AA48" i="11" s="1"/>
  <c r="F52" i="11"/>
  <c r="V52" i="11"/>
  <c r="F54" i="11"/>
  <c r="N54" i="11" s="1"/>
  <c r="V54" i="11"/>
  <c r="AA54" i="11" s="1"/>
  <c r="F56" i="11"/>
  <c r="O56" i="11" s="1"/>
  <c r="F58" i="11"/>
  <c r="V58" i="11"/>
  <c r="F60" i="11"/>
  <c r="N60" i="11" s="1"/>
  <c r="V60" i="11"/>
  <c r="AA60" i="11" s="1"/>
  <c r="N9" i="11"/>
  <c r="C78" i="12" s="1"/>
  <c r="AA6" i="10"/>
  <c r="O47" i="11"/>
  <c r="O47" i="10"/>
  <c r="N40" i="10"/>
  <c r="O48" i="10"/>
  <c r="F35" i="10"/>
  <c r="O35" i="10" s="1"/>
  <c r="J59" i="10"/>
  <c r="N59" i="10" s="1"/>
  <c r="N43" i="11"/>
  <c r="N61" i="11"/>
  <c r="R44" i="10"/>
  <c r="V36" i="10"/>
  <c r="Z36" i="10" s="1"/>
  <c r="C45" i="12" s="1"/>
  <c r="V30" i="10"/>
  <c r="N49" i="11"/>
  <c r="F33" i="11"/>
  <c r="V33" i="11"/>
  <c r="F35" i="11"/>
  <c r="V35" i="11"/>
  <c r="Z35" i="11" s="1"/>
  <c r="C116" i="12" s="1"/>
  <c r="F37" i="11"/>
  <c r="V37" i="11"/>
  <c r="F39" i="11"/>
  <c r="N39" i="11" s="1"/>
  <c r="V39" i="11"/>
  <c r="Z39" i="11" s="1"/>
  <c r="C120" i="12" s="1"/>
  <c r="F41" i="11"/>
  <c r="V41" i="11"/>
  <c r="Z41" i="11" s="1"/>
  <c r="C122" i="12" s="1"/>
  <c r="F43" i="11"/>
  <c r="V43" i="11"/>
  <c r="F45" i="11"/>
  <c r="V45" i="11"/>
  <c r="Z45" i="11" s="1"/>
  <c r="C126" i="12" s="1"/>
  <c r="F47" i="11"/>
  <c r="V47" i="11"/>
  <c r="Z47" i="11" s="1"/>
  <c r="C128" i="12" s="1"/>
  <c r="F49" i="11"/>
  <c r="V49" i="11"/>
  <c r="F51" i="11"/>
  <c r="N51" i="11" s="1"/>
  <c r="V51" i="11"/>
  <c r="Z51" i="11" s="1"/>
  <c r="C132" i="12" s="1"/>
  <c r="V53" i="11"/>
  <c r="AA53" i="11" s="1"/>
  <c r="V55" i="11"/>
  <c r="F57" i="11"/>
  <c r="N57" i="11" s="1"/>
  <c r="V57" i="11"/>
  <c r="AA57" i="11" s="1"/>
  <c r="F59" i="11"/>
  <c r="V59" i="11"/>
  <c r="Z59" i="11" s="1"/>
  <c r="C140" i="12" s="1"/>
  <c r="F61" i="11"/>
  <c r="J20" i="10"/>
  <c r="O20" i="10" s="1"/>
  <c r="N49" i="10"/>
  <c r="N31" i="11"/>
  <c r="N41" i="11"/>
  <c r="N47" i="11"/>
  <c r="F54" i="10"/>
  <c r="J22" i="10"/>
  <c r="J62" i="10"/>
  <c r="R22" i="10"/>
  <c r="AA22" i="10" s="1"/>
  <c r="V15" i="10"/>
  <c r="AA50" i="10"/>
  <c r="F47" i="10"/>
  <c r="F55" i="10"/>
  <c r="R15" i="10"/>
  <c r="Z15" i="10" s="1"/>
  <c r="C22" i="12" s="1"/>
  <c r="R39" i="10"/>
  <c r="AA39" i="10" s="1"/>
  <c r="V31" i="10"/>
  <c r="O27" i="11"/>
  <c r="N6" i="11"/>
  <c r="C75" i="12" s="1"/>
  <c r="AA6" i="11"/>
  <c r="N59" i="11"/>
  <c r="J23" i="10"/>
  <c r="N23" i="10" s="1"/>
  <c r="F23" i="10"/>
  <c r="J16" i="10"/>
  <c r="J32" i="10"/>
  <c r="R16" i="10"/>
  <c r="R40" i="10"/>
  <c r="R56" i="10"/>
  <c r="Z56" i="10" s="1"/>
  <c r="C65" i="12" s="1"/>
  <c r="V42" i="10"/>
  <c r="V47" i="10"/>
  <c r="Z47" i="10" s="1"/>
  <c r="C56" i="12" s="1"/>
  <c r="V49" i="10"/>
  <c r="V51" i="10"/>
  <c r="Z51" i="10" s="1"/>
  <c r="C60" i="12" s="1"/>
  <c r="V53" i="10"/>
  <c r="V55" i="10"/>
  <c r="V57" i="10"/>
  <c r="V59" i="10"/>
  <c r="AA59" i="10" s="1"/>
  <c r="V61" i="10"/>
  <c r="R23" i="10"/>
  <c r="O31" i="10"/>
  <c r="F16" i="10"/>
  <c r="N16" i="10" s="1"/>
  <c r="C9" i="12" s="1"/>
  <c r="J25" i="10"/>
  <c r="O25" i="10" s="1"/>
  <c r="J49" i="10"/>
  <c r="O41" i="10"/>
  <c r="R17" i="10"/>
  <c r="R41" i="10"/>
  <c r="R49" i="10"/>
  <c r="Z49" i="10" s="1"/>
  <c r="C58" i="12" s="1"/>
  <c r="N28" i="10"/>
  <c r="F41" i="10"/>
  <c r="F42" i="10"/>
  <c r="O42" i="10" s="1"/>
  <c r="J26" i="10"/>
  <c r="O26" i="10" s="1"/>
  <c r="J50" i="10"/>
  <c r="R26" i="10"/>
  <c r="R34" i="10"/>
  <c r="F19" i="10"/>
  <c r="V40" i="10"/>
  <c r="F18" i="10"/>
  <c r="O18" i="10" s="1"/>
  <c r="J19" i="10"/>
  <c r="R59" i="10"/>
  <c r="O45" i="11"/>
  <c r="J60" i="10"/>
  <c r="AA28" i="10"/>
  <c r="J29" i="10"/>
  <c r="J53" i="10"/>
  <c r="N53" i="10" s="1"/>
  <c r="N37" i="10"/>
  <c r="V48" i="10"/>
  <c r="AA48" i="10" s="1"/>
  <c r="V56" i="10"/>
  <c r="V58" i="10"/>
  <c r="J36" i="10"/>
  <c r="F38" i="10"/>
  <c r="J54" i="10"/>
  <c r="R38" i="10"/>
  <c r="J15" i="11"/>
  <c r="R16" i="11"/>
  <c r="J19" i="11"/>
  <c r="O19" i="11" s="1"/>
  <c r="R20" i="11"/>
  <c r="AA20" i="11" s="1"/>
  <c r="J21" i="11"/>
  <c r="O21" i="11" s="1"/>
  <c r="R22" i="11"/>
  <c r="AA22" i="11" s="1"/>
  <c r="J23" i="11"/>
  <c r="O23" i="11" s="1"/>
  <c r="R24" i="11"/>
  <c r="AA24" i="11" s="1"/>
  <c r="J25" i="11"/>
  <c r="O25" i="11" s="1"/>
  <c r="R62" i="11"/>
  <c r="AA62" i="11" s="1"/>
  <c r="AA17" i="11"/>
  <c r="O15" i="11"/>
  <c r="N15" i="11"/>
  <c r="C80" i="12" s="1"/>
  <c r="N27" i="11"/>
  <c r="Z57" i="11"/>
  <c r="C138" i="12" s="1"/>
  <c r="A140" i="12" s="1"/>
  <c r="O29" i="11"/>
  <c r="AA50" i="11"/>
  <c r="AA42" i="11"/>
  <c r="AA43" i="11"/>
  <c r="AA23" i="11"/>
  <c r="AA26" i="11"/>
  <c r="AA27" i="11"/>
  <c r="O30" i="11"/>
  <c r="O42" i="11"/>
  <c r="O26" i="11"/>
  <c r="O38" i="11"/>
  <c r="AA49" i="11"/>
  <c r="AA41" i="11"/>
  <c r="AA44" i="11"/>
  <c r="N20" i="11"/>
  <c r="N22" i="11"/>
  <c r="N24" i="11"/>
  <c r="C83" i="12" s="1"/>
  <c r="N26" i="11"/>
  <c r="C85" i="12" s="1"/>
  <c r="N28" i="11"/>
  <c r="N30" i="11"/>
  <c r="N32" i="11"/>
  <c r="N34" i="11"/>
  <c r="N38" i="11"/>
  <c r="N40" i="11"/>
  <c r="N46" i="11"/>
  <c r="N48" i="11"/>
  <c r="N50" i="11"/>
  <c r="N52" i="11"/>
  <c r="N56" i="11"/>
  <c r="N58" i="11"/>
  <c r="N62" i="11"/>
  <c r="Z6" i="11"/>
  <c r="C89" i="12" s="1"/>
  <c r="Z16" i="11"/>
  <c r="C95" i="12" s="1"/>
  <c r="Z26" i="11"/>
  <c r="C99" i="12" s="1"/>
  <c r="Z28" i="11"/>
  <c r="C109" i="12" s="1"/>
  <c r="A109" i="12" s="1"/>
  <c r="Z32" i="11"/>
  <c r="C113" i="12" s="1"/>
  <c r="Z34" i="11"/>
  <c r="C115" i="12" s="1"/>
  <c r="Z36" i="11"/>
  <c r="C117" i="12" s="1"/>
  <c r="A117" i="12" s="1"/>
  <c r="Z40" i="11"/>
  <c r="C121" i="12" s="1"/>
  <c r="A121" i="12" s="1"/>
  <c r="Z42" i="11"/>
  <c r="C123" i="12" s="1"/>
  <c r="A123" i="12" s="1"/>
  <c r="Z44" i="11"/>
  <c r="C125" i="12" s="1"/>
  <c r="Z52" i="11"/>
  <c r="C133" i="12" s="1"/>
  <c r="A133" i="12" s="1"/>
  <c r="Z54" i="11"/>
  <c r="C135" i="12" s="1"/>
  <c r="A136" i="12" s="1"/>
  <c r="Z58" i="11"/>
  <c r="C139" i="12" s="1"/>
  <c r="Z60" i="11"/>
  <c r="C141" i="12" s="1"/>
  <c r="V33" i="10"/>
  <c r="V38" i="10"/>
  <c r="Z38" i="10" s="1"/>
  <c r="C47" i="12" s="1"/>
  <c r="V34" i="10"/>
  <c r="V32" i="10"/>
  <c r="V26" i="10"/>
  <c r="AA26" i="10" s="1"/>
  <c r="V24" i="10"/>
  <c r="AA24" i="10" s="1"/>
  <c r="V22" i="10"/>
  <c r="V16" i="10"/>
  <c r="R33" i="10"/>
  <c r="R62" i="10"/>
  <c r="Z62" i="10" s="1"/>
  <c r="C71" i="12" s="1"/>
  <c r="R60" i="10"/>
  <c r="Z60" i="10" s="1"/>
  <c r="C69" i="12" s="1"/>
  <c r="R58" i="10"/>
  <c r="R54" i="10"/>
  <c r="R52" i="10"/>
  <c r="R48" i="10"/>
  <c r="R46" i="10"/>
  <c r="AA46" i="10" s="1"/>
  <c r="R42" i="10"/>
  <c r="AA42" i="10" s="1"/>
  <c r="R36" i="10"/>
  <c r="R32" i="10"/>
  <c r="R30" i="10"/>
  <c r="Z30" i="10" s="1"/>
  <c r="C39" i="12" s="1"/>
  <c r="R28" i="10"/>
  <c r="R20" i="10"/>
  <c r="N55" i="10"/>
  <c r="O46" i="10"/>
  <c r="N43" i="10"/>
  <c r="N41" i="10"/>
  <c r="O32" i="10"/>
  <c r="N19" i="10"/>
  <c r="J57" i="10"/>
  <c r="J48" i="10"/>
  <c r="J33" i="10"/>
  <c r="AA37" i="10"/>
  <c r="AA43" i="10"/>
  <c r="AA53" i="10"/>
  <c r="AA23" i="10"/>
  <c r="AA27" i="10"/>
  <c r="AA19" i="10"/>
  <c r="AA25" i="10"/>
  <c r="F60" i="10"/>
  <c r="F59" i="10"/>
  <c r="F58" i="10"/>
  <c r="F57" i="10"/>
  <c r="N57" i="10" s="1"/>
  <c r="F53" i="10"/>
  <c r="F43" i="10"/>
  <c r="F40" i="10"/>
  <c r="F39" i="10"/>
  <c r="O39" i="10" s="1"/>
  <c r="F34" i="10"/>
  <c r="F33" i="10"/>
  <c r="F31" i="10"/>
  <c r="F30" i="10"/>
  <c r="O30" i="10" s="1"/>
  <c r="F26" i="10"/>
  <c r="O62" i="10"/>
  <c r="O56" i="10"/>
  <c r="F52" i="10"/>
  <c r="F48" i="10"/>
  <c r="F46" i="10"/>
  <c r="F44" i="10"/>
  <c r="N44" i="10" s="1"/>
  <c r="O44" i="10"/>
  <c r="N27" i="10"/>
  <c r="O27" i="10"/>
  <c r="N35" i="10"/>
  <c r="AA44" i="10"/>
  <c r="AA17" i="10"/>
  <c r="AA35" i="10"/>
  <c r="AA60" i="10"/>
  <c r="O5" i="10"/>
  <c r="O7" i="10"/>
  <c r="AA8" i="10"/>
  <c r="AA57" i="10"/>
  <c r="O53" i="10"/>
  <c r="N15" i="10"/>
  <c r="C8" i="12" s="1"/>
  <c r="O15" i="10"/>
  <c r="N29" i="10"/>
  <c r="O29" i="10"/>
  <c r="AA29" i="10"/>
  <c r="N17" i="10"/>
  <c r="C10" i="12" s="1"/>
  <c r="O17" i="10"/>
  <c r="AA18" i="10"/>
  <c r="N21" i="10"/>
  <c r="O21" i="10"/>
  <c r="O38" i="10"/>
  <c r="N38" i="10"/>
  <c r="N51" i="10"/>
  <c r="O51" i="10"/>
  <c r="N5" i="10"/>
  <c r="C2" i="12" s="1"/>
  <c r="N6" i="10"/>
  <c r="C3" i="12" s="1"/>
  <c r="N7" i="10"/>
  <c r="C4" i="12" s="1"/>
  <c r="Z17" i="10"/>
  <c r="C24" i="12" s="1"/>
  <c r="Z19" i="10"/>
  <c r="C31" i="12" s="1"/>
  <c r="Z21" i="10"/>
  <c r="C33" i="12" s="1"/>
  <c r="Z23" i="10"/>
  <c r="C35" i="12" s="1"/>
  <c r="Z25" i="10"/>
  <c r="C26" i="12" s="1"/>
  <c r="Z27" i="10"/>
  <c r="C36" i="12" s="1"/>
  <c r="Z29" i="10"/>
  <c r="C38" i="12" s="1"/>
  <c r="Z31" i="10"/>
  <c r="C40" i="12" s="1"/>
  <c r="Z35" i="10"/>
  <c r="C44" i="12" s="1"/>
  <c r="Z37" i="10"/>
  <c r="C46" i="12" s="1"/>
  <c r="Z41" i="10"/>
  <c r="C50" i="12" s="1"/>
  <c r="Z43" i="10"/>
  <c r="C52" i="12" s="1"/>
  <c r="Z45" i="10"/>
  <c r="C54" i="12" s="1"/>
  <c r="Z53" i="10"/>
  <c r="C62" i="12" s="1"/>
  <c r="Z55" i="10"/>
  <c r="C64" i="12" s="1"/>
  <c r="Z57" i="10"/>
  <c r="C66" i="12" s="1"/>
  <c r="Z61" i="10"/>
  <c r="C70" i="12" s="1"/>
  <c r="N24" i="10"/>
  <c r="C11" i="12" s="1"/>
  <c r="N26" i="10"/>
  <c r="C13" i="12" s="1"/>
  <c r="N36" i="10"/>
  <c r="N52" i="10"/>
  <c r="N56" i="10"/>
  <c r="N58" i="10"/>
  <c r="N62" i="10"/>
  <c r="Z6" i="10"/>
  <c r="C17" i="12" s="1"/>
  <c r="Z8" i="10"/>
  <c r="C19" i="12" s="1"/>
  <c r="Z18" i="10"/>
  <c r="C30" i="12" s="1"/>
  <c r="Z22" i="10"/>
  <c r="C34" i="12" s="1"/>
  <c r="Z28" i="10"/>
  <c r="C37" i="12" s="1"/>
  <c r="Z32" i="10"/>
  <c r="C41" i="12" s="1"/>
  <c r="Z34" i="10"/>
  <c r="C43" i="12" s="1"/>
  <c r="Z40" i="10"/>
  <c r="C49" i="12" s="1"/>
  <c r="Z44" i="10"/>
  <c r="C53" i="12" s="1"/>
  <c r="Z50" i="10"/>
  <c r="C59" i="12" s="1"/>
  <c r="Z52" i="10"/>
  <c r="C61" i="12" s="1"/>
  <c r="Z54" i="10"/>
  <c r="C63" i="12" s="1"/>
  <c r="Z58" i="10"/>
  <c r="C67" i="12" s="1"/>
  <c r="O8" i="10" l="1"/>
  <c r="AA33" i="10"/>
  <c r="O51" i="11"/>
  <c r="A118" i="12"/>
  <c r="G119" i="12" s="1"/>
  <c r="O36" i="10"/>
  <c r="A120" i="12"/>
  <c r="I120" i="12" s="1"/>
  <c r="J120" i="12" s="1"/>
  <c r="A139" i="12"/>
  <c r="A111" i="12"/>
  <c r="I112" i="12" s="1"/>
  <c r="K112" i="12" s="1"/>
  <c r="Z15" i="11"/>
  <c r="C94" i="12" s="1"/>
  <c r="Z16" i="10"/>
  <c r="C23" i="12" s="1"/>
  <c r="O53" i="11"/>
  <c r="A125" i="12"/>
  <c r="A122" i="12"/>
  <c r="H121" i="12" s="1"/>
  <c r="O54" i="10"/>
  <c r="A75" i="12"/>
  <c r="R10" i="11"/>
  <c r="AA10" i="11" s="1"/>
  <c r="V9" i="11"/>
  <c r="AA9" i="11" s="1"/>
  <c r="R7" i="11"/>
  <c r="AA7" i="11" s="1"/>
  <c r="V5" i="11"/>
  <c r="Z5" i="11" s="1"/>
  <c r="C88" i="12" s="1"/>
  <c r="F10" i="10"/>
  <c r="N10" i="10" s="1"/>
  <c r="C7" i="12" s="1"/>
  <c r="I124" i="12"/>
  <c r="K124" i="12" s="1"/>
  <c r="H117" i="12"/>
  <c r="G117" i="12"/>
  <c r="H119" i="12"/>
  <c r="I117" i="12"/>
  <c r="J117" i="12" s="1"/>
  <c r="H122" i="12"/>
  <c r="A138" i="12"/>
  <c r="H138" i="12" s="1"/>
  <c r="Z24" i="10"/>
  <c r="C25" i="12" s="1"/>
  <c r="A113" i="12"/>
  <c r="A124" i="12"/>
  <c r="H123" i="12" s="1"/>
  <c r="A142" i="12"/>
  <c r="H120" i="12"/>
  <c r="G120" i="12"/>
  <c r="G138" i="12"/>
  <c r="G124" i="12"/>
  <c r="N16" i="11"/>
  <c r="C81" i="12" s="1"/>
  <c r="AA36" i="10"/>
  <c r="Z18" i="11"/>
  <c r="C102" i="12" s="1"/>
  <c r="Z29" i="11"/>
  <c r="C110" i="12" s="1"/>
  <c r="A110" i="12" s="1"/>
  <c r="Z48" i="10"/>
  <c r="C57" i="12" s="1"/>
  <c r="N36" i="11"/>
  <c r="AA19" i="11"/>
  <c r="O35" i="11"/>
  <c r="Z33" i="11"/>
  <c r="C114" i="12" s="1"/>
  <c r="A114" i="12" s="1"/>
  <c r="I114" i="12" s="1"/>
  <c r="J114" i="12" s="1"/>
  <c r="N42" i="10"/>
  <c r="O60" i="11"/>
  <c r="G139" i="12"/>
  <c r="I123" i="12"/>
  <c r="J123" i="12" s="1"/>
  <c r="I118" i="12"/>
  <c r="K118" i="12" s="1"/>
  <c r="G121" i="12"/>
  <c r="H140" i="12"/>
  <c r="O59" i="10"/>
  <c r="N20" i="10"/>
  <c r="Z39" i="10"/>
  <c r="C48" i="12" s="1"/>
  <c r="Z24" i="11"/>
  <c r="C97" i="12" s="1"/>
  <c r="N33" i="11"/>
  <c r="AA21" i="11"/>
  <c r="Z20" i="11"/>
  <c r="C104" i="12" s="1"/>
  <c r="N7" i="11"/>
  <c r="C76" i="12" s="1"/>
  <c r="Z5" i="10"/>
  <c r="C16" i="12" s="1"/>
  <c r="N10" i="11"/>
  <c r="C79" i="12" s="1"/>
  <c r="N5" i="11"/>
  <c r="C74" i="12" s="1"/>
  <c r="AA8" i="11"/>
  <c r="Z9" i="10"/>
  <c r="C20" i="12" s="1"/>
  <c r="N8" i="11"/>
  <c r="C77" i="12" s="1"/>
  <c r="O9" i="11"/>
  <c r="AA7" i="10"/>
  <c r="AA47" i="10"/>
  <c r="Z46" i="11"/>
  <c r="C127" i="12" s="1"/>
  <c r="A126" i="12" s="1"/>
  <c r="AA49" i="10"/>
  <c r="O57" i="11"/>
  <c r="AA39" i="11"/>
  <c r="O23" i="10"/>
  <c r="N21" i="11"/>
  <c r="O54" i="11"/>
  <c r="AA38" i="10"/>
  <c r="AA20" i="10"/>
  <c r="N23" i="11"/>
  <c r="AA10" i="10"/>
  <c r="O9" i="10"/>
  <c r="N54" i="10"/>
  <c r="N44" i="11"/>
  <c r="AA15" i="10"/>
  <c r="Z56" i="11"/>
  <c r="C137" i="12" s="1"/>
  <c r="A137" i="12" s="1"/>
  <c r="O18" i="11"/>
  <c r="N17" i="11"/>
  <c r="C82" i="12" s="1"/>
  <c r="N18" i="10"/>
  <c r="N45" i="11"/>
  <c r="AA51" i="10"/>
  <c r="AA30" i="11"/>
  <c r="Z59" i="10"/>
  <c r="C68" i="12" s="1"/>
  <c r="O45" i="10"/>
  <c r="AA25" i="11"/>
  <c r="AA56" i="10"/>
  <c r="AA37" i="11"/>
  <c r="O60" i="10"/>
  <c r="Z33" i="10"/>
  <c r="C42" i="12" s="1"/>
  <c r="AA45" i="11"/>
  <c r="G140" i="12"/>
  <c r="I138" i="12"/>
  <c r="J138" i="12" s="1"/>
  <c r="O10" i="11"/>
  <c r="N35" i="11"/>
  <c r="Z48" i="11"/>
  <c r="C129" i="12" s="1"/>
  <c r="AA38" i="11"/>
  <c r="AA47" i="11"/>
  <c r="O39" i="11"/>
  <c r="AA62" i="10"/>
  <c r="AA16" i="10"/>
  <c r="Z62" i="11"/>
  <c r="C143" i="12" s="1"/>
  <c r="A143" i="12" s="1"/>
  <c r="AA59" i="11"/>
  <c r="AA35" i="11"/>
  <c r="Z22" i="11"/>
  <c r="C106" i="12" s="1"/>
  <c r="AA51" i="11"/>
  <c r="Z42" i="10"/>
  <c r="C51" i="12" s="1"/>
  <c r="AA30" i="10"/>
  <c r="N30" i="10"/>
  <c r="N25" i="10"/>
  <c r="C12" i="12" s="1"/>
  <c r="N19" i="11"/>
  <c r="Z53" i="11"/>
  <c r="C134" i="12" s="1"/>
  <c r="A134" i="12" s="1"/>
  <c r="N25" i="11"/>
  <c r="C84" i="12" s="1"/>
  <c r="H124" i="12"/>
  <c r="O16" i="10"/>
  <c r="Z46" i="10"/>
  <c r="C55" i="12" s="1"/>
  <c r="N39" i="10"/>
  <c r="N33" i="10"/>
  <c r="G125" i="12"/>
  <c r="H114" i="12"/>
  <c r="H113" i="12"/>
  <c r="H112" i="12"/>
  <c r="H111" i="12"/>
  <c r="G111" i="12"/>
  <c r="I113" i="12"/>
  <c r="L113" i="12" s="1"/>
  <c r="Z26" i="10"/>
  <c r="C27" i="12" s="1"/>
  <c r="Z20" i="10"/>
  <c r="C32" i="12" s="1"/>
  <c r="N60" i="10"/>
  <c r="O57" i="10"/>
  <c r="O33" i="10"/>
  <c r="I111" i="12" l="1"/>
  <c r="J111" i="12" s="1"/>
  <c r="G114" i="12"/>
  <c r="I125" i="12"/>
  <c r="L125" i="12" s="1"/>
  <c r="H125" i="12"/>
  <c r="G122" i="12"/>
  <c r="I119" i="12"/>
  <c r="L119" i="12" s="1"/>
  <c r="G113" i="12"/>
  <c r="G123" i="12"/>
  <c r="G118" i="12"/>
  <c r="I121" i="12"/>
  <c r="K121" i="12" s="1"/>
  <c r="G112" i="12"/>
  <c r="H118" i="12"/>
  <c r="I122" i="12"/>
  <c r="L122" i="12" s="1"/>
  <c r="A76" i="12"/>
  <c r="A116" i="12"/>
  <c r="H116" i="12" s="1"/>
  <c r="A115" i="12"/>
  <c r="I116" i="12" s="1"/>
  <c r="L116" i="12" s="1"/>
  <c r="A89" i="12"/>
  <c r="AA5" i="11"/>
  <c r="A82" i="12"/>
  <c r="A78" i="12"/>
  <c r="O10" i="10"/>
  <c r="Z7" i="11"/>
  <c r="C90" i="12" s="1"/>
  <c r="Z9" i="11"/>
  <c r="C92" i="12" s="1"/>
  <c r="Z10" i="11"/>
  <c r="C93" i="12" s="1"/>
  <c r="H127" i="12"/>
  <c r="I127" i="12"/>
  <c r="K127" i="12" s="1"/>
  <c r="G127" i="12"/>
  <c r="A84" i="12"/>
  <c r="A107" i="12"/>
  <c r="A106" i="12"/>
  <c r="G106" i="12" s="1"/>
  <c r="A105" i="12"/>
  <c r="A80" i="12"/>
  <c r="A81" i="12"/>
  <c r="A85" i="12"/>
  <c r="A79" i="12"/>
  <c r="A77" i="12"/>
  <c r="A129" i="12"/>
  <c r="A131" i="12"/>
  <c r="A130" i="12"/>
  <c r="I131" i="12" s="1"/>
  <c r="L131" i="12" s="1"/>
  <c r="A104" i="12"/>
  <c r="A74" i="12"/>
  <c r="A132" i="12"/>
  <c r="A135" i="12"/>
  <c r="H139" i="12"/>
  <c r="I139" i="12"/>
  <c r="K139" i="12" s="1"/>
  <c r="I140" i="12"/>
  <c r="L140" i="12" s="1"/>
  <c r="A128" i="12"/>
  <c r="A127" i="12"/>
  <c r="H126" i="12" s="1"/>
  <c r="A108" i="12"/>
  <c r="A102" i="12"/>
  <c r="A103" i="12"/>
  <c r="A83" i="12"/>
  <c r="A141" i="12"/>
  <c r="Z8" i="11"/>
  <c r="C91" i="12" s="1"/>
  <c r="A88" i="12" s="1"/>
  <c r="O5" i="11"/>
  <c r="AA9" i="10"/>
  <c r="O8" i="11"/>
  <c r="Z7" i="10"/>
  <c r="C18" i="12" s="1"/>
  <c r="AA5" i="10"/>
  <c r="Z10" i="10"/>
  <c r="C21" i="12" s="1"/>
  <c r="N9" i="10"/>
  <c r="C6" i="12" s="1"/>
  <c r="B65" i="12"/>
  <c r="B30" i="12"/>
  <c r="B67" i="12"/>
  <c r="B40" i="12"/>
  <c r="B37" i="12"/>
  <c r="B42" i="12"/>
  <c r="B41" i="12"/>
  <c r="B71" i="12"/>
  <c r="B69" i="12"/>
  <c r="B59" i="12"/>
  <c r="B33" i="12"/>
  <c r="B35" i="12"/>
  <c r="B47" i="12"/>
  <c r="B58" i="12"/>
  <c r="B53" i="12"/>
  <c r="B66" i="12"/>
  <c r="B61" i="12"/>
  <c r="B44" i="12"/>
  <c r="B50" i="12"/>
  <c r="B62" i="12"/>
  <c r="B45" i="12"/>
  <c r="B60" i="12"/>
  <c r="B63" i="12"/>
  <c r="B38" i="12"/>
  <c r="B56" i="12"/>
  <c r="B39" i="12"/>
  <c r="B70" i="12"/>
  <c r="B31" i="12"/>
  <c r="B68" i="12"/>
  <c r="B43" i="12"/>
  <c r="B64" i="12"/>
  <c r="B46" i="12"/>
  <c r="B48" i="12"/>
  <c r="B52" i="12"/>
  <c r="B51" i="12"/>
  <c r="B54" i="12"/>
  <c r="B32" i="12"/>
  <c r="B34" i="12"/>
  <c r="B49" i="12"/>
  <c r="B57" i="12"/>
  <c r="B55" i="12"/>
  <c r="B36" i="12"/>
  <c r="E19" i="5"/>
  <c r="F19" i="5" s="1"/>
  <c r="E29" i="5"/>
  <c r="F29" i="5" s="1"/>
  <c r="E14" i="5"/>
  <c r="F14" i="5" s="1"/>
  <c r="E25" i="5"/>
  <c r="F25" i="5" s="1"/>
  <c r="E33" i="5"/>
  <c r="F33" i="5" s="1"/>
  <c r="E12" i="5"/>
  <c r="F12" i="5" s="1"/>
  <c r="E37" i="5"/>
  <c r="F37" i="5" s="1"/>
  <c r="E31" i="5"/>
  <c r="F31" i="5" s="1"/>
  <c r="E10" i="5"/>
  <c r="F10" i="5" s="1"/>
  <c r="E20" i="5"/>
  <c r="F20" i="5" s="1"/>
  <c r="E13" i="5"/>
  <c r="F13" i="5" s="1"/>
  <c r="E32" i="5"/>
  <c r="F32" i="5" s="1"/>
  <c r="E35" i="5"/>
  <c r="F35" i="5" s="1"/>
  <c r="E17" i="5"/>
  <c r="F17" i="5" s="1"/>
  <c r="E21" i="5"/>
  <c r="F21" i="5" s="1"/>
  <c r="E16" i="5"/>
  <c r="F16" i="5" s="1"/>
  <c r="E7" i="5"/>
  <c r="F7" i="5" s="1"/>
  <c r="E23" i="5"/>
  <c r="F23" i="5" s="1"/>
  <c r="E8" i="5"/>
  <c r="F8" i="5" s="1"/>
  <c r="E5" i="5"/>
  <c r="F5" i="5" s="1"/>
  <c r="E24" i="5"/>
  <c r="F24" i="5" s="1"/>
  <c r="E15" i="5"/>
  <c r="F15" i="5" s="1"/>
  <c r="E36" i="5"/>
  <c r="F36" i="5" s="1"/>
  <c r="E28" i="5"/>
  <c r="F28" i="5" s="1"/>
  <c r="E9" i="5"/>
  <c r="F9" i="5" s="1"/>
  <c r="E6" i="5"/>
  <c r="F6" i="5" s="1"/>
  <c r="E27" i="5"/>
  <c r="F27" i="5" s="1"/>
  <c r="A93" i="12" l="1"/>
  <c r="A92" i="12"/>
  <c r="A90" i="12"/>
  <c r="I91" i="12" s="1"/>
  <c r="M91" i="12" s="1"/>
  <c r="H115" i="12"/>
  <c r="G116" i="12"/>
  <c r="G115" i="12"/>
  <c r="I115" i="12"/>
  <c r="K115" i="12" s="1"/>
  <c r="A97" i="12"/>
  <c r="A98" i="12"/>
  <c r="A99" i="12"/>
  <c r="A96" i="12"/>
  <c r="A94" i="12"/>
  <c r="A95" i="12"/>
  <c r="A91" i="12"/>
  <c r="G103" i="12"/>
  <c r="G104" i="12"/>
  <c r="G102" i="12"/>
  <c r="I104" i="12"/>
  <c r="L104" i="12" s="1"/>
  <c r="H104" i="12"/>
  <c r="I103" i="12"/>
  <c r="K103" i="12" s="1"/>
  <c r="H103" i="12"/>
  <c r="H102" i="12"/>
  <c r="I102" i="12"/>
  <c r="J102" i="12" s="1"/>
  <c r="H132" i="12"/>
  <c r="G132" i="12"/>
  <c r="I132" i="12"/>
  <c r="J132" i="12" s="1"/>
  <c r="H134" i="12"/>
  <c r="I133" i="12"/>
  <c r="K133" i="12" s="1"/>
  <c r="H133" i="12"/>
  <c r="I134" i="12"/>
  <c r="L134" i="12" s="1"/>
  <c r="G134" i="12"/>
  <c r="G133" i="12"/>
  <c r="H128" i="12"/>
  <c r="H108" i="12"/>
  <c r="G108" i="12"/>
  <c r="I110" i="12"/>
  <c r="L110" i="12" s="1"/>
  <c r="G110" i="12"/>
  <c r="H109" i="12"/>
  <c r="H110" i="12"/>
  <c r="I108" i="12"/>
  <c r="J108" i="12" s="1"/>
  <c r="G109" i="12"/>
  <c r="I109" i="12"/>
  <c r="K109" i="12" s="1"/>
  <c r="G96" i="12"/>
  <c r="H96" i="12"/>
  <c r="H92" i="12"/>
  <c r="I96" i="12"/>
  <c r="R96" i="12" s="1"/>
  <c r="G97" i="12"/>
  <c r="H76" i="12"/>
  <c r="I83" i="12"/>
  <c r="S83" i="12" s="1"/>
  <c r="G77" i="12"/>
  <c r="I84" i="12"/>
  <c r="T84" i="12" s="1"/>
  <c r="H75" i="12"/>
  <c r="G75" i="12"/>
  <c r="I77" i="12"/>
  <c r="M77" i="12" s="1"/>
  <c r="I74" i="12"/>
  <c r="J74" i="12" s="1"/>
  <c r="H80" i="12"/>
  <c r="H83" i="12"/>
  <c r="I76" i="12"/>
  <c r="L76" i="12" s="1"/>
  <c r="H79" i="12"/>
  <c r="I79" i="12"/>
  <c r="O79" i="12" s="1"/>
  <c r="G74" i="12"/>
  <c r="I80" i="12"/>
  <c r="P80" i="12" s="1"/>
  <c r="I82" i="12"/>
  <c r="R82" i="12" s="1"/>
  <c r="H81" i="12"/>
  <c r="G81" i="12"/>
  <c r="G82" i="12"/>
  <c r="G85" i="12"/>
  <c r="G78" i="12"/>
  <c r="I85" i="12"/>
  <c r="U85" i="12" s="1"/>
  <c r="G76" i="12"/>
  <c r="G84" i="12"/>
  <c r="H77" i="12"/>
  <c r="I75" i="12"/>
  <c r="K75" i="12" s="1"/>
  <c r="H78" i="12"/>
  <c r="G83" i="12"/>
  <c r="H84" i="12"/>
  <c r="I81" i="12"/>
  <c r="Q81" i="12" s="1"/>
  <c r="I78" i="12"/>
  <c r="N78" i="12" s="1"/>
  <c r="G80" i="12"/>
  <c r="H74" i="12"/>
  <c r="G79" i="12"/>
  <c r="H82" i="12"/>
  <c r="H85" i="12"/>
  <c r="G128" i="12"/>
  <c r="G105" i="12"/>
  <c r="H105" i="12"/>
  <c r="G107" i="12"/>
  <c r="I107" i="12"/>
  <c r="L107" i="12" s="1"/>
  <c r="I105" i="12"/>
  <c r="J105" i="12" s="1"/>
  <c r="H106" i="12"/>
  <c r="I106" i="12"/>
  <c r="K106" i="12" s="1"/>
  <c r="H107" i="12"/>
  <c r="G126" i="12"/>
  <c r="I126" i="12"/>
  <c r="J126" i="12" s="1"/>
  <c r="H142" i="12"/>
  <c r="H141" i="12"/>
  <c r="G143" i="12"/>
  <c r="G142" i="12"/>
  <c r="G141" i="12"/>
  <c r="I141" i="12"/>
  <c r="J141" i="12" s="1"/>
  <c r="I143" i="12"/>
  <c r="L143" i="12" s="1"/>
  <c r="I142" i="12"/>
  <c r="K142" i="12" s="1"/>
  <c r="H143" i="12"/>
  <c r="H129" i="12"/>
  <c r="H130" i="12"/>
  <c r="G130" i="12"/>
  <c r="I130" i="12"/>
  <c r="K130" i="12" s="1"/>
  <c r="G129" i="12"/>
  <c r="G131" i="12"/>
  <c r="H131" i="12"/>
  <c r="I129" i="12"/>
  <c r="J129" i="12" s="1"/>
  <c r="I128" i="12"/>
  <c r="L128" i="12" s="1"/>
  <c r="I136" i="12"/>
  <c r="K136" i="12" s="1"/>
  <c r="G136" i="12"/>
  <c r="G137" i="12"/>
  <c r="I137" i="12"/>
  <c r="L137" i="12" s="1"/>
  <c r="H135" i="12"/>
  <c r="G135" i="12"/>
  <c r="I135" i="12"/>
  <c r="J135" i="12" s="1"/>
  <c r="H137" i="12"/>
  <c r="H136" i="12"/>
  <c r="A65" i="12"/>
  <c r="A67" i="12"/>
  <c r="A17" i="12"/>
  <c r="A40" i="12"/>
  <c r="A57" i="12"/>
  <c r="A35" i="12"/>
  <c r="A3" i="12"/>
  <c r="A60" i="12"/>
  <c r="A58" i="12"/>
  <c r="A70" i="12"/>
  <c r="A64" i="12"/>
  <c r="A31" i="12"/>
  <c r="A42" i="12"/>
  <c r="I42" i="12" s="1"/>
  <c r="J42" i="12" s="1"/>
  <c r="A56" i="12"/>
  <c r="A37" i="12"/>
  <c r="A47" i="12"/>
  <c r="A48" i="12"/>
  <c r="I48" i="12" s="1"/>
  <c r="J48" i="12" s="1"/>
  <c r="A21" i="12"/>
  <c r="A51" i="12"/>
  <c r="A20" i="12"/>
  <c r="A11" i="12"/>
  <c r="A71" i="12"/>
  <c r="A43" i="12"/>
  <c r="A46" i="12"/>
  <c r="A62" i="12"/>
  <c r="A63" i="12"/>
  <c r="A18" i="12"/>
  <c r="A10" i="12"/>
  <c r="A26" i="12"/>
  <c r="A55" i="12"/>
  <c r="A19" i="12"/>
  <c r="A66" i="12"/>
  <c r="A53" i="12"/>
  <c r="A27" i="12"/>
  <c r="A6" i="12"/>
  <c r="A30" i="12"/>
  <c r="A69" i="12"/>
  <c r="A59" i="12"/>
  <c r="A68" i="12"/>
  <c r="A54" i="12"/>
  <c r="A2" i="12"/>
  <c r="A41" i="12"/>
  <c r="A45" i="12"/>
  <c r="A4" i="12"/>
  <c r="A32" i="12"/>
  <c r="A38" i="12"/>
  <c r="A50" i="12"/>
  <c r="A44" i="12"/>
  <c r="A12" i="12"/>
  <c r="A23" i="12"/>
  <c r="A9" i="12"/>
  <c r="A52" i="12"/>
  <c r="A39" i="12"/>
  <c r="A36" i="12"/>
  <c r="A33" i="12"/>
  <c r="A22" i="12"/>
  <c r="A61" i="12"/>
  <c r="A49" i="12"/>
  <c r="A16" i="12"/>
  <c r="A24" i="12"/>
  <c r="A7" i="12"/>
  <c r="A5" i="12"/>
  <c r="A25" i="12"/>
  <c r="A8" i="12"/>
  <c r="A13" i="12"/>
  <c r="A34" i="12"/>
  <c r="G93" i="12" l="1"/>
  <c r="I90" i="12"/>
  <c r="L90" i="12" s="1"/>
  <c r="I95" i="12"/>
  <c r="Q95" i="12" s="1"/>
  <c r="H93" i="12"/>
  <c r="G94" i="12"/>
  <c r="H98" i="12"/>
  <c r="G90" i="12"/>
  <c r="I98" i="12"/>
  <c r="T98" i="12" s="1"/>
  <c r="G89" i="12"/>
  <c r="G91" i="12"/>
  <c r="H91" i="12"/>
  <c r="H90" i="12"/>
  <c r="H88" i="12"/>
  <c r="G95" i="12"/>
  <c r="H89" i="12"/>
  <c r="H97" i="12"/>
  <c r="I97" i="12"/>
  <c r="S97" i="12" s="1"/>
  <c r="I60" i="12"/>
  <c r="J60" i="12" s="1"/>
  <c r="G92" i="12"/>
  <c r="G99" i="12"/>
  <c r="H94" i="12"/>
  <c r="H95" i="12"/>
  <c r="I94" i="12"/>
  <c r="P94" i="12" s="1"/>
  <c r="I99" i="12"/>
  <c r="U99" i="12" s="1"/>
  <c r="G98" i="12"/>
  <c r="I88" i="12"/>
  <c r="J88" i="12" s="1"/>
  <c r="I93" i="12"/>
  <c r="O93" i="12" s="1"/>
  <c r="G88" i="12"/>
  <c r="H99" i="12"/>
  <c r="I92" i="12"/>
  <c r="N92" i="12" s="1"/>
  <c r="I89" i="12"/>
  <c r="K89" i="12" s="1"/>
  <c r="I2" i="12"/>
  <c r="J2" i="12" s="1"/>
  <c r="G52" i="12"/>
  <c r="H60" i="12"/>
  <c r="I57" i="12"/>
  <c r="J57" i="12" s="1"/>
  <c r="H44" i="12"/>
  <c r="H57" i="12"/>
  <c r="G42" i="12"/>
  <c r="H58" i="12"/>
  <c r="H42" i="12"/>
  <c r="G58" i="12"/>
  <c r="I58" i="12"/>
  <c r="K58" i="12" s="1"/>
  <c r="G57" i="12"/>
  <c r="G50" i="12"/>
  <c r="H48" i="12"/>
  <c r="G60" i="12"/>
  <c r="H43" i="12"/>
  <c r="H50" i="12"/>
  <c r="G59" i="12"/>
  <c r="G62" i="12"/>
  <c r="I61" i="12"/>
  <c r="K61" i="12" s="1"/>
  <c r="G44" i="12"/>
  <c r="I62" i="12"/>
  <c r="L62" i="12" s="1"/>
  <c r="I49" i="12"/>
  <c r="K49" i="12" s="1"/>
  <c r="I51" i="12"/>
  <c r="J51" i="12" s="1"/>
  <c r="I50" i="12"/>
  <c r="L50" i="12" s="1"/>
  <c r="H62" i="12"/>
  <c r="G61" i="12"/>
  <c r="H52" i="12"/>
  <c r="H49" i="12"/>
  <c r="I52" i="12"/>
  <c r="K52" i="12" s="1"/>
  <c r="G49" i="12"/>
  <c r="G48" i="12"/>
  <c r="H61" i="12"/>
  <c r="G53" i="12"/>
  <c r="I44" i="12"/>
  <c r="L44" i="12" s="1"/>
  <c r="H53" i="12"/>
  <c r="H45" i="12"/>
  <c r="I46" i="12"/>
  <c r="K46" i="12" s="1"/>
  <c r="G45" i="12"/>
  <c r="H46" i="12"/>
  <c r="I47" i="12"/>
  <c r="L47" i="12" s="1"/>
  <c r="G46" i="12"/>
  <c r="H47" i="12"/>
  <c r="G47" i="12"/>
  <c r="I45" i="12"/>
  <c r="J45" i="12" s="1"/>
  <c r="I53" i="12"/>
  <c r="L53" i="12" s="1"/>
  <c r="G71" i="12"/>
  <c r="I69" i="12"/>
  <c r="J69" i="12" s="1"/>
  <c r="H70" i="12"/>
  <c r="G70" i="12"/>
  <c r="H69" i="12"/>
  <c r="I71" i="12"/>
  <c r="L71" i="12" s="1"/>
  <c r="G69" i="12"/>
  <c r="H71" i="12"/>
  <c r="I70" i="12"/>
  <c r="K70" i="12" s="1"/>
  <c r="I43" i="12"/>
  <c r="K43" i="12" s="1"/>
  <c r="H59" i="12"/>
  <c r="I30" i="12"/>
  <c r="J30" i="12" s="1"/>
  <c r="H30" i="12"/>
  <c r="H31" i="12"/>
  <c r="I31" i="12"/>
  <c r="K31" i="12" s="1"/>
  <c r="G30" i="12"/>
  <c r="I32" i="12"/>
  <c r="L32" i="12" s="1"/>
  <c r="G31" i="12"/>
  <c r="H32" i="12"/>
  <c r="G32" i="12"/>
  <c r="G43" i="12"/>
  <c r="H13" i="12"/>
  <c r="H9" i="12"/>
  <c r="G13" i="12"/>
  <c r="I10" i="12"/>
  <c r="R10" i="12" s="1"/>
  <c r="G9" i="12"/>
  <c r="H10" i="12"/>
  <c r="I6" i="12"/>
  <c r="N6" i="12" s="1"/>
  <c r="I5" i="12"/>
  <c r="M5" i="12" s="1"/>
  <c r="I4" i="12"/>
  <c r="L4" i="12" s="1"/>
  <c r="I3" i="12"/>
  <c r="K3" i="12" s="1"/>
  <c r="H11" i="12"/>
  <c r="G5" i="12"/>
  <c r="G3" i="12"/>
  <c r="I12" i="12"/>
  <c r="T12" i="12" s="1"/>
  <c r="I11" i="12"/>
  <c r="S11" i="12" s="1"/>
  <c r="G10" i="12"/>
  <c r="I7" i="12"/>
  <c r="O7" i="12" s="1"/>
  <c r="H6" i="12"/>
  <c r="H5" i="12"/>
  <c r="H4" i="12"/>
  <c r="H3" i="12"/>
  <c r="H2" i="12"/>
  <c r="H7" i="12"/>
  <c r="G4" i="12"/>
  <c r="G7" i="12"/>
  <c r="G6" i="12"/>
  <c r="G2" i="12"/>
  <c r="I8" i="12"/>
  <c r="P8" i="12" s="1"/>
  <c r="G11" i="12"/>
  <c r="H12" i="12"/>
  <c r="H8" i="12"/>
  <c r="I9" i="12"/>
  <c r="Q9" i="12" s="1"/>
  <c r="G8" i="12"/>
  <c r="I13" i="12"/>
  <c r="U13" i="12" s="1"/>
  <c r="G12" i="12"/>
  <c r="G51" i="12"/>
  <c r="H33" i="12"/>
  <c r="I34" i="12"/>
  <c r="K34" i="12" s="1"/>
  <c r="G33" i="12"/>
  <c r="H34" i="12"/>
  <c r="I35" i="12"/>
  <c r="L35" i="12" s="1"/>
  <c r="G34" i="12"/>
  <c r="H35" i="12"/>
  <c r="G35" i="12"/>
  <c r="I33" i="12"/>
  <c r="J33" i="12" s="1"/>
  <c r="I56" i="12"/>
  <c r="L56" i="12" s="1"/>
  <c r="G55" i="12"/>
  <c r="H56" i="12"/>
  <c r="G56" i="12"/>
  <c r="I55" i="12"/>
  <c r="K55" i="12" s="1"/>
  <c r="H55" i="12"/>
  <c r="I54" i="12"/>
  <c r="J54" i="12" s="1"/>
  <c r="H54" i="12"/>
  <c r="G54" i="12"/>
  <c r="I59" i="12"/>
  <c r="L59" i="12" s="1"/>
  <c r="I64" i="12"/>
  <c r="K64" i="12" s="1"/>
  <c r="G63" i="12"/>
  <c r="H64" i="12"/>
  <c r="I65" i="12"/>
  <c r="L65" i="12" s="1"/>
  <c r="G64" i="12"/>
  <c r="H65" i="12"/>
  <c r="I63" i="12"/>
  <c r="J63" i="12" s="1"/>
  <c r="G65" i="12"/>
  <c r="H63" i="12"/>
  <c r="H37" i="12"/>
  <c r="I38" i="12"/>
  <c r="L38" i="12" s="1"/>
  <c r="G37" i="12"/>
  <c r="H38" i="12"/>
  <c r="G38" i="12"/>
  <c r="I36" i="12"/>
  <c r="J36" i="12" s="1"/>
  <c r="H36" i="12"/>
  <c r="G36" i="12"/>
  <c r="I37" i="12"/>
  <c r="K37" i="12" s="1"/>
  <c r="H51" i="12"/>
  <c r="I68" i="12"/>
  <c r="L68" i="12" s="1"/>
  <c r="G67" i="12"/>
  <c r="H68" i="12"/>
  <c r="G68" i="12"/>
  <c r="G66" i="12"/>
  <c r="H67" i="12"/>
  <c r="I67" i="12"/>
  <c r="K67" i="12" s="1"/>
  <c r="I66" i="12"/>
  <c r="J66" i="12" s="1"/>
  <c r="H66" i="12"/>
  <c r="H27" i="12"/>
  <c r="H23" i="12"/>
  <c r="H19" i="12"/>
  <c r="G27" i="12"/>
  <c r="I24" i="12"/>
  <c r="R24" i="12" s="1"/>
  <c r="G23" i="12"/>
  <c r="I20" i="12"/>
  <c r="N20" i="12" s="1"/>
  <c r="G19" i="12"/>
  <c r="I16" i="12"/>
  <c r="J16" i="12" s="1"/>
  <c r="H24" i="12"/>
  <c r="H20" i="12"/>
  <c r="H16" i="12"/>
  <c r="H17" i="12"/>
  <c r="I25" i="12"/>
  <c r="S25" i="12" s="1"/>
  <c r="G24" i="12"/>
  <c r="I21" i="12"/>
  <c r="O21" i="12" s="1"/>
  <c r="G20" i="12"/>
  <c r="I17" i="12"/>
  <c r="K17" i="12" s="1"/>
  <c r="G16" i="12"/>
  <c r="H25" i="12"/>
  <c r="H21" i="12"/>
  <c r="I18" i="12"/>
  <c r="L18" i="12" s="1"/>
  <c r="I26" i="12"/>
  <c r="T26" i="12" s="1"/>
  <c r="G25" i="12"/>
  <c r="I22" i="12"/>
  <c r="P22" i="12" s="1"/>
  <c r="G21" i="12"/>
  <c r="G17" i="12"/>
  <c r="H26" i="12"/>
  <c r="H22" i="12"/>
  <c r="H18" i="12"/>
  <c r="G22" i="12"/>
  <c r="I19" i="12"/>
  <c r="M19" i="12" s="1"/>
  <c r="G18" i="12"/>
  <c r="I27" i="12"/>
  <c r="U27" i="12" s="1"/>
  <c r="G26" i="12"/>
  <c r="I23" i="12"/>
  <c r="Q23" i="12" s="1"/>
  <c r="H41" i="12"/>
  <c r="G41" i="12"/>
  <c r="I39" i="12"/>
  <c r="J39" i="12" s="1"/>
  <c r="H39" i="12"/>
  <c r="I40" i="12"/>
  <c r="K40" i="12" s="1"/>
  <c r="G39" i="12"/>
  <c r="H40" i="12"/>
  <c r="I41" i="12"/>
  <c r="L41" i="12" s="1"/>
  <c r="G4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黃子瑋</author>
  </authors>
  <commentList>
    <comment ref="C2" authorId="0" shapeId="0" xr:uid="{0305E99B-E7A1-4F07-9779-1451AA6708B9}">
      <text>
        <r>
          <rPr>
            <sz val="9"/>
            <color indexed="81"/>
            <rFont val="細明體"/>
            <family val="3"/>
            <charset val="136"/>
          </rPr>
          <t>輸入非假日</t>
        </r>
      </text>
    </comment>
    <comment ref="F12" authorId="0" shapeId="0" xr:uid="{72842B4C-9C3F-42DA-B455-FA845737438E}">
      <text>
        <r>
          <rPr>
            <sz val="9"/>
            <color indexed="81"/>
            <rFont val="細明體"/>
            <family val="3"/>
            <charset val="136"/>
          </rPr>
          <t>條件式格式設定</t>
        </r>
      </text>
    </comment>
  </commentList>
</comments>
</file>

<file path=xl/sharedStrings.xml><?xml version="1.0" encoding="utf-8"?>
<sst xmlns="http://schemas.openxmlformats.org/spreadsheetml/2006/main" count="10434" uniqueCount="836">
  <si>
    <t>對照日期</t>
    <phoneticPr fontId="3" type="noConversion"/>
  </si>
  <si>
    <t>最新日期</t>
    <phoneticPr fontId="3" type="noConversion"/>
  </si>
  <si>
    <t>未平倉</t>
    <phoneticPr fontId="3" type="noConversion"/>
  </si>
  <si>
    <t>口數</t>
    <phoneticPr fontId="3" type="noConversion"/>
  </si>
  <si>
    <t>增減</t>
    <phoneticPr fontId="3" type="noConversion"/>
  </si>
  <si>
    <t>自營商買權</t>
    <phoneticPr fontId="3" type="noConversion"/>
  </si>
  <si>
    <t>投信買權</t>
    <phoneticPr fontId="3" type="noConversion"/>
  </si>
  <si>
    <t>外資買權</t>
    <phoneticPr fontId="3" type="noConversion"/>
  </si>
  <si>
    <t>自營商賣權</t>
    <phoneticPr fontId="3" type="noConversion"/>
  </si>
  <si>
    <t>投信賣權</t>
    <phoneticPr fontId="3" type="noConversion"/>
  </si>
  <si>
    <t>外資賣權</t>
    <phoneticPr fontId="3" type="noConversion"/>
  </si>
  <si>
    <t>自營商大台</t>
    <phoneticPr fontId="3" type="noConversion"/>
  </si>
  <si>
    <t>投信大台</t>
    <phoneticPr fontId="3" type="noConversion"/>
  </si>
  <si>
    <t>外資大台</t>
    <phoneticPr fontId="3" type="noConversion"/>
  </si>
  <si>
    <t>自營商小台</t>
    <phoneticPr fontId="3" type="noConversion"/>
  </si>
  <si>
    <t>自營商電子期</t>
    <phoneticPr fontId="3" type="noConversion"/>
  </si>
  <si>
    <t>投信電子期</t>
    <phoneticPr fontId="3" type="noConversion"/>
  </si>
  <si>
    <t>外資電子期</t>
    <phoneticPr fontId="3" type="noConversion"/>
  </si>
  <si>
    <t>自營商金融期</t>
    <phoneticPr fontId="3" type="noConversion"/>
  </si>
  <si>
    <t>投信金融期</t>
    <phoneticPr fontId="3" type="noConversion"/>
  </si>
  <si>
    <t>外資金融期</t>
    <phoneticPr fontId="3" type="noConversion"/>
  </si>
  <si>
    <t>自營商台灣50期</t>
    <phoneticPr fontId="3" type="noConversion"/>
  </si>
  <si>
    <t>投信台灣50期</t>
    <phoneticPr fontId="3" type="noConversion"/>
  </si>
  <si>
    <t>外資台灣50期</t>
    <phoneticPr fontId="3" type="noConversion"/>
  </si>
  <si>
    <t>自營商櫃買期</t>
    <phoneticPr fontId="3" type="noConversion"/>
  </si>
  <si>
    <t>投信櫃買期</t>
    <phoneticPr fontId="3" type="noConversion"/>
  </si>
  <si>
    <t>外資櫃買期</t>
    <phoneticPr fontId="3" type="noConversion"/>
  </si>
  <si>
    <t>自營商非金電期</t>
    <phoneticPr fontId="3" type="noConversion"/>
  </si>
  <si>
    <t>投信非金電期</t>
    <phoneticPr fontId="3" type="noConversion"/>
  </si>
  <si>
    <t>外資非金電期</t>
    <phoneticPr fontId="3" type="noConversion"/>
  </si>
  <si>
    <t>交易口數與契約金額</t>
  </si>
  <si>
    <t>未平倉餘額</t>
  </si>
  <si>
    <t>買方</t>
  </si>
  <si>
    <t>賣方</t>
  </si>
  <si>
    <t>買賣差額</t>
  </si>
  <si>
    <t>身份別</t>
  </si>
  <si>
    <t>口數</t>
  </si>
  <si>
    <t>臺指選擇權</t>
  </si>
  <si>
    <t>買權</t>
  </si>
  <si>
    <t>自營商</t>
  </si>
  <si>
    <t>投信</t>
  </si>
  <si>
    <t>外資</t>
  </si>
  <si>
    <t>賣權</t>
  </si>
  <si>
    <t>電子選擇權</t>
  </si>
  <si>
    <t>金融選擇權</t>
  </si>
  <si>
    <t>股票選擇權</t>
  </si>
  <si>
    <t>ETF選擇權</t>
  </si>
  <si>
    <t xml:space="preserve"> </t>
  </si>
  <si>
    <t>契約</t>
  </si>
  <si>
    <t>履約價</t>
  </si>
  <si>
    <t>買賣權</t>
  </si>
  <si>
    <t>開盤價</t>
  </si>
  <si>
    <t>最高價</t>
  </si>
  <si>
    <t>最低價</t>
  </si>
  <si>
    <t>結算價</t>
  </si>
  <si>
    <t>漲跌價</t>
  </si>
  <si>
    <t>漲跌%</t>
  </si>
  <si>
    <t>*成交量</t>
  </si>
  <si>
    <t>最後最佳買價</t>
  </si>
  <si>
    <t>最後最佳賣價</t>
  </si>
  <si>
    <t>歷史最高價</t>
  </si>
  <si>
    <t>歷史最低價</t>
  </si>
  <si>
    <t>Call</t>
  </si>
  <si>
    <t>-</t>
  </si>
  <si>
    <t>Put</t>
  </si>
  <si>
    <t>小計:</t>
  </si>
  <si>
    <t>*成交量與未沖銷契約量均含鉅額交易成交之契約</t>
  </si>
  <si>
    <t xml:space="preserve">TXO </t>
  </si>
  <si>
    <t xml:space="preserve">- </t>
  </si>
  <si>
    <t xml:space="preserve">▲+0.2	</t>
  </si>
  <si>
    <t xml:space="preserve">▼-0.2 </t>
  </si>
  <si>
    <t xml:space="preserve">▼-11.11% </t>
  </si>
  <si>
    <t xml:space="preserve">▼-0.5 </t>
  </si>
  <si>
    <t xml:space="preserve">0	</t>
  </si>
  <si>
    <t xml:space="preserve">▼-0.1 </t>
  </si>
  <si>
    <t xml:space="preserve">▼-3.57% </t>
  </si>
  <si>
    <t xml:space="preserve">▲+0.5	</t>
  </si>
  <si>
    <t xml:space="preserve">▼-5 </t>
  </si>
  <si>
    <t xml:space="preserve">▲+1	</t>
  </si>
  <si>
    <t xml:space="preserve">▲+8	</t>
  </si>
  <si>
    <t xml:space="preserve">▲+2	</t>
  </si>
  <si>
    <t xml:space="preserve">▼-2 </t>
  </si>
  <si>
    <t xml:space="preserve">▼-7 </t>
  </si>
  <si>
    <t xml:space="preserve">▼-30 </t>
  </si>
  <si>
    <t xml:space="preserve">▲+5	</t>
  </si>
  <si>
    <t xml:space="preserve">▲+4	</t>
  </si>
  <si>
    <t xml:space="preserve">▼-35 </t>
  </si>
  <si>
    <t xml:space="preserve">▼-15 </t>
  </si>
  <si>
    <t xml:space="preserve">▲+13	</t>
  </si>
  <si>
    <t xml:space="preserve">▲+12	</t>
  </si>
  <si>
    <t xml:space="preserve">▼-14 </t>
  </si>
  <si>
    <t xml:space="preserve">▼-11 </t>
  </si>
  <si>
    <t xml:space="preserve">▼-12 </t>
  </si>
  <si>
    <t xml:space="preserve">▲+19	</t>
  </si>
  <si>
    <t xml:space="preserve">▼-8.5 </t>
  </si>
  <si>
    <t xml:space="preserve">▼-6 </t>
  </si>
  <si>
    <t xml:space="preserve">▼-6.5 </t>
  </si>
  <si>
    <t xml:space="preserve">▼-53 </t>
  </si>
  <si>
    <t xml:space="preserve">▲+16	</t>
  </si>
  <si>
    <t xml:space="preserve">▼-3.6 </t>
  </si>
  <si>
    <t xml:space="preserve">▼-2.6 </t>
  </si>
  <si>
    <t xml:space="preserve">▼-10 </t>
  </si>
  <si>
    <t xml:space="preserve">▼-1 </t>
  </si>
  <si>
    <t xml:space="preserve">▼-28.57% </t>
  </si>
  <si>
    <t xml:space="preserve">▼-0.7 </t>
  </si>
  <si>
    <t xml:space="preserve">▼-0.3 </t>
  </si>
  <si>
    <t xml:space="preserve">▼-42.86% </t>
  </si>
  <si>
    <t xml:space="preserve">▼-0.4 </t>
  </si>
  <si>
    <t xml:space="preserve">▼-57.14% </t>
  </si>
  <si>
    <t xml:space="preserve">▼-5.26% </t>
  </si>
  <si>
    <t xml:space="preserve">▼-2.5 </t>
  </si>
  <si>
    <t xml:space="preserve">▼-3 </t>
  </si>
  <si>
    <t xml:space="preserve">▲+7	</t>
  </si>
  <si>
    <t xml:space="preserve">▼-26 </t>
  </si>
  <si>
    <t xml:space="preserve">▼-27 </t>
  </si>
  <si>
    <t xml:space="preserve">▼-21 </t>
  </si>
  <si>
    <t xml:space="preserve">▼-13 </t>
  </si>
  <si>
    <t xml:space="preserve">▼-9.09% </t>
  </si>
  <si>
    <t xml:space="preserve">▲+6	</t>
  </si>
  <si>
    <t xml:space="preserve">▼-4.5 </t>
  </si>
  <si>
    <t xml:space="preserve">▼-0.8 </t>
  </si>
  <si>
    <t xml:space="preserve">▼-1.1 </t>
  </si>
  <si>
    <t xml:space="preserve">▼-0.6 </t>
  </si>
  <si>
    <t xml:space="preserve">▼-16.67% </t>
  </si>
  <si>
    <t xml:space="preserve">▼-25.00% </t>
  </si>
  <si>
    <t xml:space="preserve">▼-50.00% </t>
  </si>
  <si>
    <t xml:space="preserve">▲+0.1	</t>
  </si>
  <si>
    <t xml:space="preserve">▲+33.33%	</t>
  </si>
  <si>
    <t xml:space="preserve">▲+3.70%	</t>
  </si>
  <si>
    <t xml:space="preserve">▼-1.60% </t>
  </si>
  <si>
    <t xml:space="preserve">▼-8 </t>
  </si>
  <si>
    <t xml:space="preserve">▼-30.00% </t>
  </si>
  <si>
    <t xml:space="preserve">▲+1.79%	</t>
  </si>
  <si>
    <t xml:space="preserve">▼-18 </t>
  </si>
  <si>
    <t xml:space="preserve">▼-17 </t>
  </si>
  <si>
    <t xml:space="preserve">▼-4 </t>
  </si>
  <si>
    <t xml:space="preserve">▼-37.50% </t>
  </si>
  <si>
    <t xml:space="preserve">▼-25 </t>
  </si>
  <si>
    <t xml:space="preserve">▼-22 </t>
  </si>
  <si>
    <t xml:space="preserve">▼-9 </t>
  </si>
  <si>
    <t xml:space="preserve">▼-16 </t>
  </si>
  <si>
    <t>　</t>
  </si>
  <si>
    <t xml:space="preserve">▼-20 </t>
  </si>
  <si>
    <t xml:space="preserve">▼-33.33% </t>
  </si>
  <si>
    <t xml:space="preserve">▲+30	</t>
  </si>
  <si>
    <t xml:space="preserve">▲+0.3	</t>
  </si>
  <si>
    <t xml:space="preserve">▼-34 </t>
  </si>
  <si>
    <t xml:space="preserve">▼-23 </t>
  </si>
  <si>
    <t>多方</t>
  </si>
  <si>
    <t>空方</t>
  </si>
  <si>
    <t>多空淨額</t>
  </si>
  <si>
    <t>臺股期貨</t>
  </si>
  <si>
    <t>電子期貨</t>
  </si>
  <si>
    <t>金融期貨</t>
  </si>
  <si>
    <t>小型臺指期貨</t>
  </si>
  <si>
    <t>小型電子期貨</t>
  </si>
  <si>
    <t>臺灣50期貨</t>
  </si>
  <si>
    <t>股票期貨</t>
  </si>
  <si>
    <t>ETF期貨</t>
  </si>
  <si>
    <t>櫃買指數期貨</t>
  </si>
  <si>
    <t>非金電期貨</t>
  </si>
  <si>
    <t>富櫃200期貨</t>
  </si>
  <si>
    <t>臺灣永續期貨</t>
  </si>
  <si>
    <t>臺灣生技期貨</t>
  </si>
  <si>
    <t>東證期貨</t>
  </si>
  <si>
    <t>美國標普500期貨</t>
  </si>
  <si>
    <t>美國那斯達克100期貨</t>
  </si>
  <si>
    <t>美國道瓊期貨</t>
  </si>
  <si>
    <t>英國富時100期貨</t>
  </si>
  <si>
    <t>期貨合計</t>
  </si>
  <si>
    <t>*未沖銷契約量</t>
  </si>
  <si>
    <t xml:space="preserve">TX </t>
  </si>
  <si>
    <t xml:space="preserve">▼-49 </t>
  </si>
  <si>
    <t>合約</t>
    <phoneticPr fontId="3" type="noConversion"/>
  </si>
  <si>
    <t>臺指選擇權</t>
    <phoneticPr fontId="3" type="noConversion"/>
  </si>
  <si>
    <t>交易口數與契約金額</t>
    <phoneticPr fontId="3" type="noConversion"/>
  </si>
  <si>
    <t>未平倉餘額</t>
    <phoneticPr fontId="3" type="noConversion"/>
  </si>
  <si>
    <t>Buy</t>
    <phoneticPr fontId="3" type="noConversion"/>
  </si>
  <si>
    <t>Sell</t>
    <phoneticPr fontId="3" type="noConversion"/>
  </si>
  <si>
    <t>淨額</t>
    <phoneticPr fontId="3" type="noConversion"/>
  </si>
  <si>
    <t>推估權利金</t>
    <phoneticPr fontId="3" type="noConversion"/>
  </si>
  <si>
    <t>推估履約價</t>
    <phoneticPr fontId="3" type="noConversion"/>
  </si>
  <si>
    <t>契約金額</t>
    <phoneticPr fontId="3" type="noConversion"/>
  </si>
  <si>
    <t>價格</t>
    <phoneticPr fontId="3" type="noConversion"/>
  </si>
  <si>
    <t>操作</t>
    <phoneticPr fontId="3" type="noConversion"/>
  </si>
  <si>
    <t>買權</t>
    <phoneticPr fontId="3" type="noConversion"/>
  </si>
  <si>
    <t>自營商</t>
    <phoneticPr fontId="3" type="noConversion"/>
  </si>
  <si>
    <t>投信</t>
    <phoneticPr fontId="3" type="noConversion"/>
  </si>
  <si>
    <t>外資</t>
    <phoneticPr fontId="3" type="noConversion"/>
  </si>
  <si>
    <t>賣權</t>
    <phoneticPr fontId="3" type="noConversion"/>
  </si>
  <si>
    <t>臺指期貨</t>
    <phoneticPr fontId="3" type="noConversion"/>
  </si>
  <si>
    <t>單位</t>
    <phoneticPr fontId="3" type="noConversion"/>
  </si>
  <si>
    <t>平均價格</t>
    <phoneticPr fontId="3" type="noConversion"/>
  </si>
  <si>
    <t>電子期貨</t>
    <phoneticPr fontId="3" type="noConversion"/>
  </si>
  <si>
    <t>金融期貨</t>
    <phoneticPr fontId="3" type="noConversion"/>
  </si>
  <si>
    <t>小型臺指期貨</t>
    <phoneticPr fontId="3" type="noConversion"/>
  </si>
  <si>
    <t>臺灣50期貨</t>
    <phoneticPr fontId="3" type="noConversion"/>
  </si>
  <si>
    <t>股票期貨</t>
    <phoneticPr fontId="3" type="noConversion"/>
  </si>
  <si>
    <t>ETF期貨</t>
    <phoneticPr fontId="3" type="noConversion"/>
  </si>
  <si>
    <t>櫃買指數期貨</t>
    <phoneticPr fontId="3" type="noConversion"/>
  </si>
  <si>
    <t>非金電期貨</t>
    <phoneticPr fontId="3" type="noConversion"/>
  </si>
  <si>
    <t>富櫃200期貨</t>
    <phoneticPr fontId="3" type="noConversion"/>
  </si>
  <si>
    <t>臺灣永續期貨</t>
    <phoneticPr fontId="3" type="noConversion"/>
  </si>
  <si>
    <t>臺灣生技期貨</t>
    <phoneticPr fontId="3" type="noConversion"/>
  </si>
  <si>
    <t>美國標普500期貨</t>
    <phoneticPr fontId="3" type="noConversion"/>
  </si>
  <si>
    <t>美國那斯達克100期貨</t>
    <phoneticPr fontId="3" type="noConversion"/>
  </si>
  <si>
    <t>美國道瓊期貨</t>
    <phoneticPr fontId="3" type="noConversion"/>
  </si>
  <si>
    <t>英國富時100期貨</t>
    <phoneticPr fontId="3" type="noConversion"/>
  </si>
  <si>
    <t>投信小台</t>
    <phoneticPr fontId="3" type="noConversion"/>
  </si>
  <si>
    <t>外資小台</t>
    <phoneticPr fontId="3" type="noConversion"/>
  </si>
  <si>
    <t>排名</t>
    <phoneticPr fontId="3" type="noConversion"/>
  </si>
  <si>
    <t>行為</t>
    <phoneticPr fontId="3" type="noConversion"/>
  </si>
  <si>
    <t>排序</t>
    <phoneticPr fontId="3" type="noConversion"/>
  </si>
  <si>
    <t>表格</t>
    <phoneticPr fontId="3" type="noConversion"/>
  </si>
  <si>
    <t xml:space="preserve">▼-9.5 </t>
  </si>
  <si>
    <t xml:space="preserve">▼-1.6 </t>
  </si>
  <si>
    <t xml:space="preserve">▼-60 </t>
  </si>
  <si>
    <t xml:space="preserve">▲+11	</t>
  </si>
  <si>
    <t xml:space="preserve">▲+90	</t>
  </si>
  <si>
    <t xml:space="preserve">▲+0.6	</t>
  </si>
  <si>
    <t xml:space="preserve">▼-70 </t>
  </si>
  <si>
    <t xml:space="preserve">▼-72 </t>
  </si>
  <si>
    <t xml:space="preserve">▼-71 </t>
  </si>
  <si>
    <t xml:space="preserve">▲+75	</t>
  </si>
  <si>
    <t xml:space="preserve">▲+59	</t>
  </si>
  <si>
    <t xml:space="preserve">▼-3.5 </t>
  </si>
  <si>
    <t xml:space="preserve">▼-58 </t>
  </si>
  <si>
    <t xml:space="preserve">▼-73 </t>
  </si>
  <si>
    <t xml:space="preserve">▼-65 </t>
  </si>
  <si>
    <t xml:space="preserve">▼-110 </t>
  </si>
  <si>
    <t xml:space="preserve">▲+24	</t>
  </si>
  <si>
    <t xml:space="preserve">▼-63.64% </t>
  </si>
  <si>
    <t>序號</t>
  </si>
  <si>
    <t>商品名稱</t>
  </si>
  <si>
    <t>契約金額</t>
  </si>
  <si>
    <t>期貨小計</t>
  </si>
  <si>
    <t>到期月份(週別)</t>
  </si>
  <si>
    <t>最後成交價</t>
  </si>
  <si>
    <t>權別</t>
  </si>
  <si>
    <t>合約</t>
  </si>
  <si>
    <t>*盤後交易時段成交量</t>
  </si>
  <si>
    <t>*一般交易時段成交量</t>
  </si>
  <si>
    <t>*合計成交量</t>
  </si>
  <si>
    <t xml:space="preserve">▼-0.9 </t>
  </si>
  <si>
    <t xml:space="preserve">▼-1.4 </t>
  </si>
  <si>
    <t xml:space="preserve">▼-43.75% </t>
  </si>
  <si>
    <t xml:space="preserve">▼-5.5 </t>
  </si>
  <si>
    <t xml:space="preserve">▼-29 </t>
  </si>
  <si>
    <t xml:space="preserve">▼-19.64% </t>
  </si>
  <si>
    <t xml:space="preserve">▼-31 </t>
  </si>
  <si>
    <t xml:space="preserve">▼-3.70% </t>
  </si>
  <si>
    <t xml:space="preserve">▲+1.34%	</t>
  </si>
  <si>
    <t xml:space="preserve">▲+2.86%	</t>
  </si>
  <si>
    <t xml:space="preserve">▼-4.7 </t>
  </si>
  <si>
    <t xml:space="preserve">▼-3.4 </t>
  </si>
  <si>
    <t xml:space="preserve">▼-45.00% </t>
  </si>
  <si>
    <t xml:space="preserve">▼-40.00% </t>
  </si>
  <si>
    <t xml:space="preserve">▼-71.43% </t>
  </si>
  <si>
    <t xml:space="preserve">▼-1.7 </t>
  </si>
  <si>
    <t xml:space="preserve">▼-68.00% </t>
  </si>
  <si>
    <t xml:space="preserve">▼-2.3 </t>
  </si>
  <si>
    <t xml:space="preserve">▼-2.4 </t>
  </si>
  <si>
    <t xml:space="preserve">▼-53.49% </t>
  </si>
  <si>
    <t xml:space="preserve">▼-3.2 </t>
  </si>
  <si>
    <t xml:space="preserve">▼-3.3 </t>
  </si>
  <si>
    <t xml:space="preserve">▼-3.7 </t>
  </si>
  <si>
    <t xml:space="preserve">▼-4.1 </t>
  </si>
  <si>
    <t xml:space="preserve">▼-4.4 </t>
  </si>
  <si>
    <t xml:space="preserve">▼-17.54% </t>
  </si>
  <si>
    <t xml:space="preserve">▼-2.75% </t>
  </si>
  <si>
    <t xml:space="preserve">▼-40 </t>
  </si>
  <si>
    <t xml:space="preserve">▼-7.58% </t>
  </si>
  <si>
    <t xml:space="preserve">▼-8.86% </t>
  </si>
  <si>
    <t xml:space="preserve">▼-10.5 </t>
  </si>
  <si>
    <t xml:space="preserve">▲+20	</t>
  </si>
  <si>
    <t xml:space="preserve">▲+10	</t>
  </si>
  <si>
    <t xml:space="preserve">▲+2.70%	</t>
  </si>
  <si>
    <t xml:space="preserve">▼-2.7 </t>
  </si>
  <si>
    <t xml:space="preserve">▼-1.9 </t>
  </si>
  <si>
    <t xml:space="preserve">▼-20.83% </t>
  </si>
  <si>
    <t xml:space="preserve">▲+25.00%	</t>
  </si>
  <si>
    <t xml:space="preserve">▼-1.2 </t>
  </si>
  <si>
    <t xml:space="preserve">▼-1.5 </t>
  </si>
  <si>
    <t xml:space="preserve">▼-7.69% </t>
  </si>
  <si>
    <t xml:space="preserve">▼-8.70% </t>
  </si>
  <si>
    <t xml:space="preserve">▼-1.20% </t>
  </si>
  <si>
    <t xml:space="preserve">▼-7.20% </t>
  </si>
  <si>
    <t xml:space="preserve">▼-12.12% </t>
  </si>
  <si>
    <t xml:space="preserve">▼-17.81% </t>
  </si>
  <si>
    <t xml:space="preserve">▼-20.69% </t>
  </si>
  <si>
    <t xml:space="preserve">▼-3.13% </t>
  </si>
  <si>
    <t xml:space="preserve">▼-18.18% </t>
  </si>
  <si>
    <t xml:space="preserve">▲+12.28%	</t>
  </si>
  <si>
    <t xml:space="preserve">▲+0.32%	</t>
  </si>
  <si>
    <t xml:space="preserve">▲+2.59%	</t>
  </si>
  <si>
    <t xml:space="preserve">▼-4.41% </t>
  </si>
  <si>
    <t xml:space="preserve">▼-3.28% </t>
  </si>
  <si>
    <t xml:space="preserve">▼-4.17% </t>
  </si>
  <si>
    <t xml:space="preserve">▼-3.39% </t>
  </si>
  <si>
    <t xml:space="preserve">▼-2.00% </t>
  </si>
  <si>
    <t xml:space="preserve">▲+0.96%	</t>
  </si>
  <si>
    <t xml:space="preserve">▼-9.88% </t>
  </si>
  <si>
    <t xml:space="preserve">▼-7.62% </t>
  </si>
  <si>
    <t xml:space="preserve">▼-36.36% </t>
  </si>
  <si>
    <t xml:space="preserve">▼-38.46% </t>
  </si>
  <si>
    <t xml:space="preserve">▼-60.00% </t>
  </si>
  <si>
    <t xml:space="preserve">▼-58.33% </t>
  </si>
  <si>
    <t xml:space="preserve">▲+21.62%	</t>
  </si>
  <si>
    <t xml:space="preserve">▼-6.7 </t>
  </si>
  <si>
    <t xml:space="preserve">▼-49.9 </t>
  </si>
  <si>
    <t xml:space="preserve">▲+53	</t>
  </si>
  <si>
    <t xml:space="preserve">▼-49.37% </t>
  </si>
  <si>
    <t xml:space="preserve">▼-37.5 </t>
  </si>
  <si>
    <t xml:space="preserve">▼-54 </t>
  </si>
  <si>
    <t xml:space="preserve">▼-59 </t>
  </si>
  <si>
    <t xml:space="preserve">▼-85 </t>
  </si>
  <si>
    <t xml:space="preserve">▲+2.1	</t>
  </si>
  <si>
    <t xml:space="preserve">▼-6.25% </t>
  </si>
  <si>
    <t xml:space="preserve">▼-17.5 </t>
  </si>
  <si>
    <t xml:space="preserve">▼-42 </t>
  </si>
  <si>
    <t xml:space="preserve">▼-57 </t>
  </si>
  <si>
    <t xml:space="preserve">▲+33	</t>
  </si>
  <si>
    <t xml:space="preserve">▼-17.89% </t>
  </si>
  <si>
    <t xml:space="preserve">▼-80.00% </t>
  </si>
  <si>
    <t xml:space="preserve">▼-12.00% </t>
  </si>
  <si>
    <t xml:space="preserve">▼-13.31% </t>
  </si>
  <si>
    <t xml:space="preserve">▼-90 </t>
  </si>
  <si>
    <t xml:space="preserve">▼-14.29% </t>
  </si>
  <si>
    <t xml:space="preserve">▲+40	</t>
  </si>
  <si>
    <t xml:space="preserve">▲79 </t>
  </si>
  <si>
    <t xml:space="preserve">▲0.47%	</t>
  </si>
  <si>
    <t xml:space="preserve">▲81 </t>
  </si>
  <si>
    <t xml:space="preserve">▲0.48%	</t>
  </si>
  <si>
    <t xml:space="preserve">▲83 </t>
  </si>
  <si>
    <t xml:space="preserve">▲0.50%	</t>
  </si>
  <si>
    <t xml:space="preserve">▲56 </t>
  </si>
  <si>
    <t xml:space="preserve">▲0.34%	</t>
  </si>
  <si>
    <t xml:space="preserve">▲44 </t>
  </si>
  <si>
    <t xml:space="preserve">▲0.27%	</t>
  </si>
  <si>
    <t xml:space="preserve">▲29 </t>
  </si>
  <si>
    <t xml:space="preserve">▲0.18%	</t>
  </si>
  <si>
    <t xml:space="preserve">▼-66.67% </t>
  </si>
  <si>
    <t xml:space="preserve">▼-30.77% </t>
  </si>
  <si>
    <t xml:space="preserve">▼-42.11% </t>
  </si>
  <si>
    <t xml:space="preserve">▼-43.48% </t>
  </si>
  <si>
    <t xml:space="preserve">▼-40.74% </t>
  </si>
  <si>
    <t xml:space="preserve">▼-45.16% </t>
  </si>
  <si>
    <t xml:space="preserve">▼-60.38% </t>
  </si>
  <si>
    <t xml:space="preserve">▼-48.15% </t>
  </si>
  <si>
    <t xml:space="preserve">▼-41.94% </t>
  </si>
  <si>
    <t xml:space="preserve">▼-46.48% </t>
  </si>
  <si>
    <t xml:space="preserve">▼-10.14% </t>
  </si>
  <si>
    <t xml:space="preserve">▼-46.81% </t>
  </si>
  <si>
    <t xml:space="preserve">▼-10.17% </t>
  </si>
  <si>
    <t xml:space="preserve">▼-4.3 </t>
  </si>
  <si>
    <t xml:space="preserve">▼-40.95% </t>
  </si>
  <si>
    <t xml:space="preserve">▼-10.93% </t>
  </si>
  <si>
    <t xml:space="preserve">▼-66 </t>
  </si>
  <si>
    <t xml:space="preserve">▼-6.2 </t>
  </si>
  <si>
    <t xml:space="preserve">▼-14.73% </t>
  </si>
  <si>
    <t xml:space="preserve">▼-7.5 </t>
  </si>
  <si>
    <t xml:space="preserve">▼-39.47% </t>
  </si>
  <si>
    <t xml:space="preserve">▼-16.34% </t>
  </si>
  <si>
    <t xml:space="preserve">▼-35.42% </t>
  </si>
  <si>
    <t xml:space="preserve">▼-20.17% </t>
  </si>
  <si>
    <t xml:space="preserve">▼-31.58% </t>
  </si>
  <si>
    <t xml:space="preserve">▼-75 </t>
  </si>
  <si>
    <t xml:space="preserve">▼-23.44% </t>
  </si>
  <si>
    <t xml:space="preserve">▼-26.39% </t>
  </si>
  <si>
    <t xml:space="preserve">▼-74 </t>
  </si>
  <si>
    <t xml:space="preserve">▼-26.91% </t>
  </si>
  <si>
    <t xml:space="preserve">▼-23.33% </t>
  </si>
  <si>
    <t xml:space="preserve">▼-68 </t>
  </si>
  <si>
    <t xml:space="preserve">▼-28.81% </t>
  </si>
  <si>
    <t xml:space="preserve">▼-34.00% </t>
  </si>
  <si>
    <t xml:space="preserve">▼-8.96% </t>
  </si>
  <si>
    <t xml:space="preserve">▼-63 </t>
  </si>
  <si>
    <t xml:space="preserve">▼-38.41% </t>
  </si>
  <si>
    <t xml:space="preserve">▼-5.95% </t>
  </si>
  <si>
    <t xml:space="preserve">▼-44.78% </t>
  </si>
  <si>
    <t xml:space="preserve">▼-1.94% </t>
  </si>
  <si>
    <t xml:space="preserve">▼-55 </t>
  </si>
  <si>
    <t xml:space="preserve">▼-51.40% </t>
  </si>
  <si>
    <t xml:space="preserve">▲+1.60%	</t>
  </si>
  <si>
    <t xml:space="preserve">▲+3.92%	</t>
  </si>
  <si>
    <t xml:space="preserve">▲+10.44%	</t>
  </si>
  <si>
    <t xml:space="preserve">▼-73.68% </t>
  </si>
  <si>
    <t xml:space="preserve">▲+13.89%	</t>
  </si>
  <si>
    <t xml:space="preserve">▼-26.9 </t>
  </si>
  <si>
    <t xml:space="preserve">▼-77.97% </t>
  </si>
  <si>
    <t xml:space="preserve">▲+13.10%	</t>
  </si>
  <si>
    <t xml:space="preserve">▼-16.2 </t>
  </si>
  <si>
    <t xml:space="preserve">▼-79.02% </t>
  </si>
  <si>
    <t xml:space="preserve">▲+49	</t>
  </si>
  <si>
    <t xml:space="preserve">▲+16.96%	</t>
  </si>
  <si>
    <t xml:space="preserve">▼-13.9 </t>
  </si>
  <si>
    <t xml:space="preserve">▼-81.76% </t>
  </si>
  <si>
    <t xml:space="preserve">▲+55	</t>
  </si>
  <si>
    <t xml:space="preserve">▲+16.52%	</t>
  </si>
  <si>
    <t xml:space="preserve">▼-7.1 </t>
  </si>
  <si>
    <t xml:space="preserve">▼-78.02% </t>
  </si>
  <si>
    <t xml:space="preserve">▼-81.61% </t>
  </si>
  <si>
    <t xml:space="preserve">▲+13.85%	</t>
  </si>
  <si>
    <t xml:space="preserve">▼-5.2 </t>
  </si>
  <si>
    <t xml:space="preserve">▼-79.07% </t>
  </si>
  <si>
    <t xml:space="preserve">▲+65	</t>
  </si>
  <si>
    <t xml:space="preserve">▲+12.50%	</t>
  </si>
  <si>
    <t xml:space="preserve">▼-65.22% </t>
  </si>
  <si>
    <t xml:space="preserve">▼-1.22% </t>
  </si>
  <si>
    <t xml:space="preserve">▼-55.56% </t>
  </si>
  <si>
    <t xml:space="preserve">▼-0.89% </t>
  </si>
  <si>
    <t xml:space="preserve">▼-75.00% </t>
  </si>
  <si>
    <t xml:space="preserve">▲+3.45%	</t>
  </si>
  <si>
    <t xml:space="preserve">▼-2.94% </t>
  </si>
  <si>
    <t xml:space="preserve">▼-2.50% </t>
  </si>
  <si>
    <t xml:space="preserve">▲+2.22%	</t>
  </si>
  <si>
    <t xml:space="preserve">▼-1.61% </t>
  </si>
  <si>
    <t xml:space="preserve">▼-4.35% </t>
  </si>
  <si>
    <t xml:space="preserve">▼-3.49% </t>
  </si>
  <si>
    <t xml:space="preserve">▼-1.89% </t>
  </si>
  <si>
    <t xml:space="preserve">▲+1.69%	</t>
  </si>
  <si>
    <t xml:space="preserve">▼-2.33% </t>
  </si>
  <si>
    <t xml:space="preserve">▼-1.05% </t>
  </si>
  <si>
    <t xml:space="preserve">▼-0.83% </t>
  </si>
  <si>
    <t xml:space="preserve">▼-0.74% </t>
  </si>
  <si>
    <t xml:space="preserve">▲+0.67%	</t>
  </si>
  <si>
    <t xml:space="preserve">▲+0.58%	</t>
  </si>
  <si>
    <t xml:space="preserve">▼-45 </t>
  </si>
  <si>
    <t xml:space="preserve">▼-6.04% </t>
  </si>
  <si>
    <t xml:space="preserve">▲+1.04%	</t>
  </si>
  <si>
    <t xml:space="preserve">▼-9.70% </t>
  </si>
  <si>
    <t xml:space="preserve">▲+3	</t>
  </si>
  <si>
    <t xml:space="preserve">▲+1.38%	</t>
  </si>
  <si>
    <t xml:space="preserve">▼-10.92% </t>
  </si>
  <si>
    <t xml:space="preserve">▲+1.23%	</t>
  </si>
  <si>
    <t xml:space="preserve">▼-10.86% </t>
  </si>
  <si>
    <t xml:space="preserve">▲+2.55%	</t>
  </si>
  <si>
    <t xml:space="preserve">▼-52 </t>
  </si>
  <si>
    <t xml:space="preserve">▼-11.23% </t>
  </si>
  <si>
    <t xml:space="preserve">▲+9	</t>
  </si>
  <si>
    <t xml:space="preserve">▲+2.92%	</t>
  </si>
  <si>
    <t xml:space="preserve">▼-51 </t>
  </si>
  <si>
    <t xml:space="preserve">▼-12.72% </t>
  </si>
  <si>
    <t xml:space="preserve">▼-14.83% </t>
  </si>
  <si>
    <t xml:space="preserve">▲+3.08%	</t>
  </si>
  <si>
    <t xml:space="preserve">▼-16.78% </t>
  </si>
  <si>
    <t xml:space="preserve">▲+5.49%	</t>
  </si>
  <si>
    <t xml:space="preserve">▼-46 </t>
  </si>
  <si>
    <t xml:space="preserve">▼-18.62% </t>
  </si>
  <si>
    <t xml:space="preserve">▲+21	</t>
  </si>
  <si>
    <t xml:space="preserve">▲+4.25%	</t>
  </si>
  <si>
    <t xml:space="preserve">▼-37 </t>
  </si>
  <si>
    <t xml:space="preserve">▼-18.50% </t>
  </si>
  <si>
    <t xml:space="preserve">▲+5.50%	</t>
  </si>
  <si>
    <t xml:space="preserve">▼-21.21% </t>
  </si>
  <si>
    <t xml:space="preserve">▼-3.31% </t>
  </si>
  <si>
    <t xml:space="preserve">▼-22.56% </t>
  </si>
  <si>
    <t xml:space="preserve">▲+4.38%	</t>
  </si>
  <si>
    <t xml:space="preserve">▼-24.30% </t>
  </si>
  <si>
    <t xml:space="preserve">▲+5.30%	</t>
  </si>
  <si>
    <t xml:space="preserve">▼-24.10% </t>
  </si>
  <si>
    <t xml:space="preserve">▲+60	</t>
  </si>
  <si>
    <t xml:space="preserve">▲+6.59%	</t>
  </si>
  <si>
    <t xml:space="preserve">▼-12.5 </t>
  </si>
  <si>
    <t xml:space="preserve">▼-23.08% </t>
  </si>
  <si>
    <t xml:space="preserve">▼-21.28% </t>
  </si>
  <si>
    <t xml:space="preserve">▼-27.03% </t>
  </si>
  <si>
    <t xml:space="preserve">▼-14.81% </t>
  </si>
  <si>
    <t xml:space="preserve">▼-22.50% </t>
  </si>
  <si>
    <t xml:space="preserve">▼-20.88% </t>
  </si>
  <si>
    <t xml:space="preserve">▼-18.75% </t>
  </si>
  <si>
    <t xml:space="preserve">▼-26.03% </t>
  </si>
  <si>
    <t xml:space="preserve">▲+4.55%	</t>
  </si>
  <si>
    <t xml:space="preserve">▼-19.51% </t>
  </si>
  <si>
    <t xml:space="preserve">▲+0.8	</t>
  </si>
  <si>
    <t xml:space="preserve">▲+21.05%	</t>
  </si>
  <si>
    <t xml:space="preserve">▼-6.67% </t>
  </si>
  <si>
    <t xml:space="preserve">▲+30.00%	</t>
  </si>
  <si>
    <t xml:space="preserve">▼-10.64% </t>
  </si>
  <si>
    <t xml:space="preserve">▲+3.17%	</t>
  </si>
  <si>
    <t xml:space="preserve">▼-1.39% </t>
  </si>
  <si>
    <t xml:space="preserve">▼-10.84% </t>
  </si>
  <si>
    <t xml:space="preserve">▼-7.78% </t>
  </si>
  <si>
    <t xml:space="preserve">▼-5.83% </t>
  </si>
  <si>
    <t xml:space="preserve">▼-6.96% </t>
  </si>
  <si>
    <t xml:space="preserve">▼-7.32% </t>
  </si>
  <si>
    <t xml:space="preserve">▼-6.99% </t>
  </si>
  <si>
    <t xml:space="preserve">▼-6.54% </t>
  </si>
  <si>
    <t xml:space="preserve">▼-1.83% </t>
  </si>
  <si>
    <t xml:space="preserve">▼-6.08% </t>
  </si>
  <si>
    <t xml:space="preserve">▼-5.79% </t>
  </si>
  <si>
    <t xml:space="preserve">▼-11.40% </t>
  </si>
  <si>
    <t xml:space="preserve">▼-1.53% </t>
  </si>
  <si>
    <t xml:space="preserve">▼-2.47% </t>
  </si>
  <si>
    <t xml:space="preserve">▼-6.89% </t>
  </si>
  <si>
    <t xml:space="preserve">▲+3.10%	</t>
  </si>
  <si>
    <t xml:space="preserve">▼-3.45% </t>
  </si>
  <si>
    <t xml:space="preserve">▼-1.13% </t>
  </si>
  <si>
    <t xml:space="preserve">▲+1.68%	</t>
  </si>
  <si>
    <t xml:space="preserve">▲+0.90%	</t>
  </si>
  <si>
    <t xml:space="preserve">▼-3.11% </t>
  </si>
  <si>
    <t xml:space="preserve">▲+0.93%	</t>
  </si>
  <si>
    <t xml:space="preserve">▼-9.28% </t>
  </si>
  <si>
    <t xml:space="preserve">▼-7.04% </t>
  </si>
  <si>
    <t xml:space="preserve">▼-10.34% </t>
  </si>
  <si>
    <t xml:space="preserve">▼-3.01% </t>
  </si>
  <si>
    <t xml:space="preserve">▼-1.76% </t>
  </si>
  <si>
    <t xml:space="preserve">▼-3.47% </t>
  </si>
  <si>
    <t xml:space="preserve">▼-11.33% </t>
  </si>
  <si>
    <t xml:space="preserve">▲+2.56%	</t>
  </si>
  <si>
    <t xml:space="preserve">▼-13.08% </t>
  </si>
  <si>
    <t xml:space="preserve">▼-1.19% </t>
  </si>
  <si>
    <t xml:space="preserve">▲+1.55%	</t>
  </si>
  <si>
    <t xml:space="preserve">▼-7.59% </t>
  </si>
  <si>
    <t xml:space="preserve">▼-16.31% </t>
  </si>
  <si>
    <t xml:space="preserve">▼-17.44% </t>
  </si>
  <si>
    <t xml:space="preserve">▼-16.90% </t>
  </si>
  <si>
    <t xml:space="preserve">▼-17.35% </t>
  </si>
  <si>
    <t xml:space="preserve">▼-3.80% </t>
  </si>
  <si>
    <t xml:space="preserve">▼-13.04% </t>
  </si>
  <si>
    <t xml:space="preserve">▼-7.84% </t>
  </si>
  <si>
    <t xml:space="preserve">▼-22.73% </t>
  </si>
  <si>
    <t xml:space="preserve">▲+30.88%	</t>
  </si>
  <si>
    <t xml:space="preserve">▼-20.00% </t>
  </si>
  <si>
    <t xml:space="preserve">▼-5.19% </t>
  </si>
  <si>
    <t xml:space="preserve">▼-5.96% </t>
  </si>
  <si>
    <t xml:space="preserve">▼-0.60% </t>
  </si>
  <si>
    <t xml:space="preserve">▼-5.46% </t>
  </si>
  <si>
    <t xml:space="preserve">▼-4.21% </t>
  </si>
  <si>
    <t xml:space="preserve">▼-0.95% </t>
  </si>
  <si>
    <t xml:space="preserve">▲+23	</t>
  </si>
  <si>
    <t xml:space="preserve">▲+9.02%	</t>
  </si>
  <si>
    <t xml:space="preserve">▼-3.63% </t>
  </si>
  <si>
    <t xml:space="preserve">▼-4.39% </t>
  </si>
  <si>
    <t xml:space="preserve">▼-2.88% </t>
  </si>
  <si>
    <t xml:space="preserve">▼-9.24% </t>
  </si>
  <si>
    <t xml:space="preserve">▼-21.15% </t>
  </si>
  <si>
    <t>Call 履約價</t>
  </si>
  <si>
    <t>Call 成交</t>
  </si>
  <si>
    <t>Call 成交量</t>
  </si>
  <si>
    <t>Call 未平倉</t>
  </si>
  <si>
    <t>Put 履約價</t>
  </si>
  <si>
    <t>Put 成交</t>
  </si>
  <si>
    <t>Put 成交量</t>
  </si>
  <si>
    <t>Put 未平倉</t>
  </si>
  <si>
    <t xml:space="preserve">▲8 </t>
  </si>
  <si>
    <t xml:space="preserve">▲0.05%	</t>
  </si>
  <si>
    <t xml:space="preserve">▼-0.04% </t>
  </si>
  <si>
    <t xml:space="preserve">▼-0.03% </t>
  </si>
  <si>
    <t xml:space="preserve">▲38 </t>
  </si>
  <si>
    <t xml:space="preserve">▲0.23%	</t>
  </si>
  <si>
    <t xml:space="preserve">▲120 </t>
  </si>
  <si>
    <t xml:space="preserve">▲0.76%	</t>
  </si>
  <si>
    <t>202110W2</t>
  </si>
  <si>
    <t xml:space="preserve">▼-83.33% </t>
  </si>
  <si>
    <t xml:space="preserve">▼-77.78% </t>
  </si>
  <si>
    <t xml:space="preserve">▼-72.73% </t>
  </si>
  <si>
    <t xml:space="preserve">▼-84.62% </t>
  </si>
  <si>
    <t xml:space="preserve">▼-82.35% </t>
  </si>
  <si>
    <t xml:space="preserve">▼-86.96% </t>
  </si>
  <si>
    <t xml:space="preserve">▼-61 </t>
  </si>
  <si>
    <t xml:space="preserve">▼-97.30% </t>
  </si>
  <si>
    <t xml:space="preserve">▼-95.92% </t>
  </si>
  <si>
    <t xml:space="preserve">▼-19.50% </t>
  </si>
  <si>
    <t xml:space="preserve">▼-6.6 </t>
  </si>
  <si>
    <t xml:space="preserve">▼-97.06% </t>
  </si>
  <si>
    <t xml:space="preserve">▼-82 </t>
  </si>
  <si>
    <t xml:space="preserve">▼-20.97% </t>
  </si>
  <si>
    <t xml:space="preserve">▼-8.4 </t>
  </si>
  <si>
    <t xml:space="preserve">▼-98.82% </t>
  </si>
  <si>
    <t xml:space="preserve">▼-21.11% </t>
  </si>
  <si>
    <t xml:space="preserve">▼-11.9 </t>
  </si>
  <si>
    <t xml:space="preserve">▼-99.17% </t>
  </si>
  <si>
    <t xml:space="preserve">▼-78 </t>
  </si>
  <si>
    <t xml:space="preserve">▼-26.17% </t>
  </si>
  <si>
    <t xml:space="preserve">▼-15.9 </t>
  </si>
  <si>
    <t xml:space="preserve">▼-99.38% </t>
  </si>
  <si>
    <t xml:space="preserve">▼-83 </t>
  </si>
  <si>
    <t xml:space="preserve">▼-32.81% </t>
  </si>
  <si>
    <t xml:space="preserve">▼-21.9 </t>
  </si>
  <si>
    <t xml:space="preserve">▼-99.55% </t>
  </si>
  <si>
    <t xml:space="preserve">▼-29.9 </t>
  </si>
  <si>
    <t xml:space="preserve">▼-99.67% </t>
  </si>
  <si>
    <t xml:space="preserve">▼-96 </t>
  </si>
  <si>
    <t xml:space="preserve">▼-58.18% </t>
  </si>
  <si>
    <t xml:space="preserve">▼-39.9 </t>
  </si>
  <si>
    <t xml:space="preserve">▼-99.75% </t>
  </si>
  <si>
    <t xml:space="preserve">▼-99.80% </t>
  </si>
  <si>
    <t xml:space="preserve">▼-95.9 </t>
  </si>
  <si>
    <t xml:space="preserve">▼-99.90% </t>
  </si>
  <si>
    <t xml:space="preserve">▼-55.15% </t>
  </si>
  <si>
    <t xml:space="preserve">▼-66.9 </t>
  </si>
  <si>
    <t xml:space="preserve">▼-99.85% </t>
  </si>
  <si>
    <t xml:space="preserve">▼-41.4 </t>
  </si>
  <si>
    <t xml:space="preserve">▼-99.76% </t>
  </si>
  <si>
    <t xml:space="preserve">▲+14.04%	</t>
  </si>
  <si>
    <t xml:space="preserve">▼-23.9 </t>
  </si>
  <si>
    <t xml:space="preserve">▼-99.58% </t>
  </si>
  <si>
    <t xml:space="preserve">▲+22.30%	</t>
  </si>
  <si>
    <t xml:space="preserve">▼-13.4 </t>
  </si>
  <si>
    <t xml:space="preserve">▼-99.26% </t>
  </si>
  <si>
    <t xml:space="preserve">▲+43	</t>
  </si>
  <si>
    <t xml:space="preserve">▲+22.99%	</t>
  </si>
  <si>
    <t xml:space="preserve">▼-97.10% </t>
  </si>
  <si>
    <t xml:space="preserve">▲+50	</t>
  </si>
  <si>
    <t xml:space="preserve">▲+21.74%	</t>
  </si>
  <si>
    <t xml:space="preserve">▼-97.37% </t>
  </si>
  <si>
    <t xml:space="preserve">▲+57	</t>
  </si>
  <si>
    <t xml:space="preserve">▲+20.88%	</t>
  </si>
  <si>
    <t xml:space="preserve">▼-92.00% </t>
  </si>
  <si>
    <t xml:space="preserve">▲+17.65%	</t>
  </si>
  <si>
    <t xml:space="preserve">▲+58	</t>
  </si>
  <si>
    <t xml:space="preserve">▲+15.55%	</t>
  </si>
  <si>
    <t xml:space="preserve">▼-78.57% </t>
  </si>
  <si>
    <t xml:space="preserve">▲+61	</t>
  </si>
  <si>
    <t xml:space="preserve">▲+14.45%	</t>
  </si>
  <si>
    <t xml:space="preserve">▼-90.91% </t>
  </si>
  <si>
    <t xml:space="preserve">▲+11.23%	</t>
  </si>
  <si>
    <t xml:space="preserve">▲+25	</t>
  </si>
  <si>
    <t xml:space="preserve">▲+4.81%	</t>
  </si>
  <si>
    <t xml:space="preserve">▲+70	</t>
  </si>
  <si>
    <t xml:space="preserve">▼-85.71% </t>
  </si>
  <si>
    <t xml:space="preserve">▲+45	</t>
  </si>
  <si>
    <t xml:space="preserve">▲+6.72%	</t>
  </si>
  <si>
    <t xml:space="preserve">▲+4.60%	</t>
  </si>
  <si>
    <t xml:space="preserve">▼-1.3 </t>
  </si>
  <si>
    <t xml:space="preserve">▼-56.52% </t>
  </si>
  <si>
    <t xml:space="preserve">▼-16.00% </t>
  </si>
  <si>
    <t xml:space="preserve">▼-45.71% </t>
  </si>
  <si>
    <t xml:space="preserve">▲+2.97%	</t>
  </si>
  <si>
    <t xml:space="preserve">▼-43.59% </t>
  </si>
  <si>
    <t xml:space="preserve">▼-51.11% </t>
  </si>
  <si>
    <t xml:space="preserve">▼-48.98% </t>
  </si>
  <si>
    <t xml:space="preserve">▼-43.33% </t>
  </si>
  <si>
    <t xml:space="preserve">▼-3.9 </t>
  </si>
  <si>
    <t xml:space="preserve">▼-46.59% </t>
  </si>
  <si>
    <t xml:space="preserve">▼-35.71% </t>
  </si>
  <si>
    <t xml:space="preserve">▼-28.46% </t>
  </si>
  <si>
    <t xml:space="preserve">▼-38.24% </t>
  </si>
  <si>
    <t xml:space="preserve">▼-45.45% </t>
  </si>
  <si>
    <t xml:space="preserve">▼-23.64% </t>
  </si>
  <si>
    <t xml:space="preserve">▼-5.76% </t>
  </si>
  <si>
    <t xml:space="preserve">▼-21.92% </t>
  </si>
  <si>
    <t xml:space="preserve">▼-18.48% </t>
  </si>
  <si>
    <t xml:space="preserve">▼-15.71% </t>
  </si>
  <si>
    <t xml:space="preserve">▼-14.86% </t>
  </si>
  <si>
    <t xml:space="preserve">▼-6.74% </t>
  </si>
  <si>
    <t xml:space="preserve">▼-95 </t>
  </si>
  <si>
    <t xml:space="preserve">▼-18.10% </t>
  </si>
  <si>
    <t xml:space="preserve">▼-8.11% </t>
  </si>
  <si>
    <t xml:space="preserve">▼-16.88% </t>
  </si>
  <si>
    <t xml:space="preserve">▼-6.61% </t>
  </si>
  <si>
    <t xml:space="preserve">▼-105 </t>
  </si>
  <si>
    <t xml:space="preserve">▼-3.05% </t>
  </si>
  <si>
    <t xml:space="preserve">▼-17.05% </t>
  </si>
  <si>
    <t xml:space="preserve">▼-98 </t>
  </si>
  <si>
    <t xml:space="preserve">▼-25.93% </t>
  </si>
  <si>
    <t xml:space="preserve">▼-0.63% </t>
  </si>
  <si>
    <t xml:space="preserve">▼-22.88% </t>
  </si>
  <si>
    <t xml:space="preserve">▲+1.16%	</t>
  </si>
  <si>
    <t xml:space="preserve">▼-89 </t>
  </si>
  <si>
    <t xml:space="preserve">▼-29.18% </t>
  </si>
  <si>
    <t xml:space="preserve">▲+3.74%	</t>
  </si>
  <si>
    <t xml:space="preserve">▼-27.91% </t>
  </si>
  <si>
    <t xml:space="preserve">▲+16.04%	</t>
  </si>
  <si>
    <t xml:space="preserve">▼-34.44% </t>
  </si>
  <si>
    <t xml:space="preserve">▲+5.29%	</t>
  </si>
  <si>
    <t xml:space="preserve">▼-34.15% </t>
  </si>
  <si>
    <t xml:space="preserve">▲+29	</t>
  </si>
  <si>
    <t xml:space="preserve">▲+12.45%	</t>
  </si>
  <si>
    <t xml:space="preserve">▼-38.38% </t>
  </si>
  <si>
    <t xml:space="preserve">▲+9.26%	</t>
  </si>
  <si>
    <t xml:space="preserve">▼-39.62% </t>
  </si>
  <si>
    <t xml:space="preserve">▲+8.71%	</t>
  </si>
  <si>
    <t xml:space="preserve">▼-43.80% </t>
  </si>
  <si>
    <t xml:space="preserve">▲+10.34%	</t>
  </si>
  <si>
    <t xml:space="preserve">▼-47.50% </t>
  </si>
  <si>
    <t xml:space="preserve">▲+47	</t>
  </si>
  <si>
    <t xml:space="preserve">▲+13.47%	</t>
  </si>
  <si>
    <t xml:space="preserve">▼-49.5 </t>
  </si>
  <si>
    <t xml:space="preserve">▲+52	</t>
  </si>
  <si>
    <t xml:space="preserve">▲+13.76%	</t>
  </si>
  <si>
    <t xml:space="preserve">▼-50.5 </t>
  </si>
  <si>
    <t xml:space="preserve">▼-56.74% </t>
  </si>
  <si>
    <t xml:space="preserve">▲+46	</t>
  </si>
  <si>
    <t xml:space="preserve">▲+11.00%	</t>
  </si>
  <si>
    <t xml:space="preserve">▼-56.06% </t>
  </si>
  <si>
    <t xml:space="preserve">▲+13.33%	</t>
  </si>
  <si>
    <t xml:space="preserve">▼-42.5 </t>
  </si>
  <si>
    <t xml:space="preserve">▼-65.38% </t>
  </si>
  <si>
    <t xml:space="preserve">▼-6.28% </t>
  </si>
  <si>
    <t xml:space="preserve">▼-61.36% </t>
  </si>
  <si>
    <t xml:space="preserve">▲+14.56%	</t>
  </si>
  <si>
    <t xml:space="preserve">▼-23.5 </t>
  </si>
  <si>
    <t xml:space="preserve">▼-65.28% </t>
  </si>
  <si>
    <t xml:space="preserve">▲+5.22%	</t>
  </si>
  <si>
    <t xml:space="preserve">▼-18.4 </t>
  </si>
  <si>
    <t xml:space="preserve">▼-65.71% </t>
  </si>
  <si>
    <t xml:space="preserve">▲+10.66%	</t>
  </si>
  <si>
    <t xml:space="preserve">▼-11.7 </t>
  </si>
  <si>
    <t xml:space="preserve">▼-66.86% </t>
  </si>
  <si>
    <t xml:space="preserve">▲+12.95%	</t>
  </si>
  <si>
    <t xml:space="preserve">▼-70.00% </t>
  </si>
  <si>
    <t xml:space="preserve">▲+5.70%	</t>
  </si>
  <si>
    <t xml:space="preserve">▼-5.4 </t>
  </si>
  <si>
    <t xml:space="preserve">▼-65.85% </t>
  </si>
  <si>
    <t xml:space="preserve">▲+6.18%	</t>
  </si>
  <si>
    <t xml:space="preserve">▼-66.07% </t>
  </si>
  <si>
    <t xml:space="preserve">▲+5.05%	</t>
  </si>
  <si>
    <t xml:space="preserve">▲+0.92%	</t>
  </si>
  <si>
    <t xml:space="preserve">▼-61.29% </t>
  </si>
  <si>
    <t xml:space="preserve">▼-53.85% </t>
  </si>
  <si>
    <t xml:space="preserve">▼-3.03% </t>
  </si>
  <si>
    <t xml:space="preserve">▲+300.00%	</t>
  </si>
  <si>
    <t xml:space="preserve">▼-29.03% </t>
  </si>
  <si>
    <t xml:space="preserve">▼-19.05% </t>
  </si>
  <si>
    <t xml:space="preserve">▼-22.54% </t>
  </si>
  <si>
    <t xml:space="preserve">▼-26.92% </t>
  </si>
  <si>
    <t xml:space="preserve">▼-80 </t>
  </si>
  <si>
    <t xml:space="preserve">▼-3.85% </t>
  </si>
  <si>
    <t xml:space="preserve">▼-16.28% </t>
  </si>
  <si>
    <t xml:space="preserve">▼-13.33% </t>
  </si>
  <si>
    <t xml:space="preserve">▼-15.00% </t>
  </si>
  <si>
    <t xml:space="preserve">▼-4.81% </t>
  </si>
  <si>
    <t xml:space="preserve">▼-11.48% </t>
  </si>
  <si>
    <t xml:space="preserve">▼-9.23% </t>
  </si>
  <si>
    <t xml:space="preserve">▼-6.34% </t>
  </si>
  <si>
    <t xml:space="preserve">▼-5.84% </t>
  </si>
  <si>
    <t xml:space="preserve">▼-3.53% </t>
  </si>
  <si>
    <t xml:space="preserve">▼-2.69% </t>
  </si>
  <si>
    <t xml:space="preserve">▼-3.94% </t>
  </si>
  <si>
    <t xml:space="preserve">▲+80	</t>
  </si>
  <si>
    <t xml:space="preserve">▲+7.84%	</t>
  </si>
  <si>
    <t xml:space="preserve">▼-2.20% </t>
  </si>
  <si>
    <t xml:space="preserve">▲+2.84%	</t>
  </si>
  <si>
    <t xml:space="preserve">▼-7.45% </t>
  </si>
  <si>
    <t xml:space="preserve">▲+2.05%	</t>
  </si>
  <si>
    <t xml:space="preserve">▲+5.46%	</t>
  </si>
  <si>
    <t xml:space="preserve">▼-11.76% </t>
  </si>
  <si>
    <t xml:space="preserve">▲+28	</t>
  </si>
  <si>
    <t xml:space="preserve">▲+7.07%	</t>
  </si>
  <si>
    <t xml:space="preserve">▼-15.23% </t>
  </si>
  <si>
    <t xml:space="preserve">▲+2.46%	</t>
  </si>
  <si>
    <t xml:space="preserve">▼-16.32% </t>
  </si>
  <si>
    <t xml:space="preserve">▲+4.77%	</t>
  </si>
  <si>
    <t xml:space="preserve">▼-81 </t>
  </si>
  <si>
    <t xml:space="preserve">▼-18.97% </t>
  </si>
  <si>
    <t xml:space="preserve">▼-69 </t>
  </si>
  <si>
    <t xml:space="preserve">▼-18.40% </t>
  </si>
  <si>
    <t xml:space="preserve">▲+3.97%	</t>
  </si>
  <si>
    <t xml:space="preserve">▼-19.49% </t>
  </si>
  <si>
    <t xml:space="preserve">▲+4.41%	</t>
  </si>
  <si>
    <t xml:space="preserve">▼-24.37% </t>
  </si>
  <si>
    <t xml:space="preserve">▼-26.11% </t>
  </si>
  <si>
    <t xml:space="preserve">▼-26.63% </t>
  </si>
  <si>
    <t xml:space="preserve">▼-0.57% </t>
  </si>
  <si>
    <t xml:space="preserve">▼-29.91% </t>
  </si>
  <si>
    <t xml:space="preserve">▼-32.29% </t>
  </si>
  <si>
    <t xml:space="preserve">▼-6.36% </t>
  </si>
  <si>
    <t xml:space="preserve">▼-32.91% </t>
  </si>
  <si>
    <t xml:space="preserve">▼-35.38% </t>
  </si>
  <si>
    <t xml:space="preserve">▼-33.65% </t>
  </si>
  <si>
    <t xml:space="preserve">▼-30.38% </t>
  </si>
  <si>
    <t xml:space="preserve">▼-35.21% </t>
  </si>
  <si>
    <t xml:space="preserve">▼-35.59% </t>
  </si>
  <si>
    <t xml:space="preserve">▼-23.53% </t>
  </si>
  <si>
    <t xml:space="preserve">▼-35.48% </t>
  </si>
  <si>
    <t xml:space="preserve">▼-27.69% </t>
  </si>
  <si>
    <t xml:space="preserve">▲+0.50%	</t>
  </si>
  <si>
    <t xml:space="preserve">▼-15.45% </t>
  </si>
  <si>
    <t xml:space="preserve">▼-11.96% </t>
  </si>
  <si>
    <t xml:space="preserve">▼-13.70% </t>
  </si>
  <si>
    <t xml:space="preserve">▲+1.47%	</t>
  </si>
  <si>
    <t xml:space="preserve">▲+1.9	</t>
  </si>
  <si>
    <t xml:space="preserve">▲+32.76%	</t>
  </si>
  <si>
    <t xml:space="preserve">▼-13.48% </t>
  </si>
  <si>
    <t xml:space="preserve">▼-7.63% </t>
  </si>
  <si>
    <t xml:space="preserve">▼-9.77% </t>
  </si>
  <si>
    <t xml:space="preserve">▲+4.31%	</t>
  </si>
  <si>
    <t xml:space="preserve">▼-21.98% </t>
  </si>
  <si>
    <t xml:space="preserve">▲+2.02%	</t>
  </si>
  <si>
    <t xml:space="preserve">▼-10.49% </t>
  </si>
  <si>
    <t xml:space="preserve">▲+3.71%	</t>
  </si>
  <si>
    <t xml:space="preserve">▲+3.39%	</t>
  </si>
  <si>
    <t xml:space="preserve">▲+31	</t>
  </si>
  <si>
    <t xml:space="preserve">▲+7.56%	</t>
  </si>
  <si>
    <t xml:space="preserve">▲+4.51%	</t>
  </si>
  <si>
    <t xml:space="preserve">▼-50 </t>
  </si>
  <si>
    <t xml:space="preserve">▼-6.37% </t>
  </si>
  <si>
    <t xml:space="preserve">▲+9.66%	</t>
  </si>
  <si>
    <t xml:space="preserve">▼-7.52% </t>
  </si>
  <si>
    <t xml:space="preserve">▲+1.67%	</t>
  </si>
  <si>
    <t xml:space="preserve">▼-4.72% </t>
  </si>
  <si>
    <t xml:space="preserve">▲+17	</t>
  </si>
  <si>
    <t xml:space="preserve">▲+3.94%	</t>
  </si>
  <si>
    <t xml:space="preserve">▼-6.19% </t>
  </si>
  <si>
    <t xml:space="preserve">▼-8.31% </t>
  </si>
  <si>
    <t xml:space="preserve">▲+48	</t>
  </si>
  <si>
    <t xml:space="preserve">▲+17.78%	</t>
  </si>
  <si>
    <t xml:space="preserve">▼-10.59% </t>
  </si>
  <si>
    <t xml:space="preserve">▼-7.80% </t>
  </si>
  <si>
    <t xml:space="preserve">▼-15.94% </t>
  </si>
  <si>
    <t xml:space="preserve">▲+9.09%	</t>
  </si>
  <si>
    <t xml:space="preserve">▼-7.00% </t>
  </si>
  <si>
    <t xml:space="preserve">▼-14.44% </t>
  </si>
  <si>
    <t xml:space="preserve">▼-10.96% </t>
  </si>
  <si>
    <t xml:space="preserve">▼-20.29% </t>
  </si>
  <si>
    <t xml:space="preserve">▼-13.64% </t>
  </si>
  <si>
    <t xml:space="preserve">▼-24.29% </t>
  </si>
  <si>
    <t xml:space="preserve">▼-9.43% </t>
  </si>
  <si>
    <t xml:space="preserve">▲+1.6	</t>
  </si>
  <si>
    <t xml:space="preserve">▲+19.75%	</t>
  </si>
  <si>
    <t xml:space="preserve">▼-58.54% </t>
  </si>
  <si>
    <t xml:space="preserve">▼-7.94% </t>
  </si>
  <si>
    <t xml:space="preserve">▼-8.17% </t>
  </si>
  <si>
    <t xml:space="preserve">▲+0.80%	</t>
  </si>
  <si>
    <t xml:space="preserve">▲+1.36%	</t>
  </si>
  <si>
    <t xml:space="preserve">▲+2.04%	</t>
  </si>
  <si>
    <t xml:space="preserve">▼-4.29% </t>
  </si>
  <si>
    <t xml:space="preserve">▼-2.84% </t>
  </si>
  <si>
    <t xml:space="preserve">▼-1.71% </t>
  </si>
  <si>
    <t xml:space="preserve">▼-5.71% </t>
  </si>
  <si>
    <t xml:space="preserve">▼-4.44% </t>
  </si>
  <si>
    <t xml:space="preserve">▼-19 </t>
  </si>
  <si>
    <t xml:space="preserve">▼-7.06% </t>
  </si>
  <si>
    <t xml:space="preserve">▼-5.41% </t>
  </si>
  <si>
    <t xml:space="preserve">▼-18.29% </t>
  </si>
  <si>
    <t xml:space="preserve">▼-21.5 </t>
  </si>
  <si>
    <t xml:space="preserve">▼-35.83% </t>
  </si>
  <si>
    <t xml:space="preserve">▲+1.97%	</t>
  </si>
  <si>
    <t xml:space="preserve">▼-5.14% </t>
  </si>
  <si>
    <t xml:space="preserve">▼-1.87% </t>
  </si>
  <si>
    <t xml:space="preserve">▲+27	</t>
  </si>
  <si>
    <t xml:space="preserve">▲+6.73%	</t>
  </si>
  <si>
    <t xml:space="preserve">▼-3.79% </t>
  </si>
  <si>
    <t xml:space="preserve">▲+8.91%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</si>
</sst>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[Red]0_ ;[Green]\-0\ "/>
    <numFmt numFmtId="178" formatCode="0.00_ "/>
    <numFmt numFmtId="179" formatCode="0_ "/>
  </numFmts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color theme="1"/>
      <name val="微軟正黑體"/>
      <family val="2"/>
      <charset val="136"/>
    </font>
    <font>
      <sz val="8"/>
      <name val="微軟正黑體"/>
      <family val="2"/>
      <charset val="136"/>
    </font>
    <font>
      <sz val="10"/>
      <name val="微軟正黑體"/>
      <family val="2"/>
      <charset val="136"/>
    </font>
    <font>
      <sz val="12"/>
      <name val="新細明體"/>
      <family val="2"/>
      <scheme val="minor"/>
    </font>
    <font>
      <sz val="12"/>
      <color rgb="FF00B0F0"/>
      <name val="新細明體"/>
      <family val="2"/>
      <scheme val="minor"/>
    </font>
    <font>
      <sz val="9"/>
      <color indexed="81"/>
      <name val="細明體"/>
      <family val="3"/>
      <charset val="136"/>
    </font>
    <font>
      <sz val="9"/>
      <name val="微軟正黑體"/>
      <family val="2"/>
      <charset val="136"/>
    </font>
    <font>
      <sz val="9"/>
      <color rgb="FFFF0000"/>
      <name val="微軟正黑體"/>
      <family val="2"/>
      <charset val="136"/>
    </font>
    <font>
      <sz val="8"/>
      <color theme="0"/>
      <name val="微軟正黑體"/>
      <family val="2"/>
      <charset val="136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21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3" borderId="3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0" fillId="3" borderId="5" xfId="0" applyFill="1" applyBorder="1" applyAlignment="1"/>
    <xf numFmtId="0" fontId="4" fillId="3" borderId="6" xfId="0" applyFont="1" applyFill="1" applyBorder="1">
      <alignment vertical="center"/>
    </xf>
    <xf numFmtId="0" fontId="4" fillId="3" borderId="0" xfId="0" applyFont="1" applyFill="1">
      <alignment vertical="center"/>
    </xf>
    <xf numFmtId="0" fontId="0" fillId="3" borderId="7" xfId="0" applyFill="1" applyBorder="1" applyAlignment="1"/>
    <xf numFmtId="0" fontId="4" fillId="3" borderId="8" xfId="0" applyFont="1" applyFill="1" applyBorder="1">
      <alignment vertical="center"/>
    </xf>
    <xf numFmtId="0" fontId="4" fillId="3" borderId="9" xfId="0" applyFont="1" applyFill="1" applyBorder="1">
      <alignment vertical="center"/>
    </xf>
    <xf numFmtId="0" fontId="0" fillId="3" borderId="10" xfId="0" applyFill="1" applyBorder="1" applyAlignment="1"/>
    <xf numFmtId="0" fontId="0" fillId="4" borderId="0" xfId="0" applyFill="1" applyAlignment="1"/>
    <xf numFmtId="0" fontId="4" fillId="4" borderId="6" xfId="0" applyFont="1" applyFill="1" applyBorder="1">
      <alignment vertical="center"/>
    </xf>
    <xf numFmtId="0" fontId="4" fillId="4" borderId="0" xfId="0" applyFont="1" applyFill="1">
      <alignment vertical="center"/>
    </xf>
    <xf numFmtId="0" fontId="0" fillId="4" borderId="7" xfId="0" applyFill="1" applyBorder="1" applyAlignment="1"/>
    <xf numFmtId="0" fontId="4" fillId="5" borderId="3" xfId="0" applyFont="1" applyFill="1" applyBorder="1">
      <alignment vertical="center"/>
    </xf>
    <xf numFmtId="0" fontId="4" fillId="5" borderId="4" xfId="0" applyFont="1" applyFill="1" applyBorder="1">
      <alignment vertical="center"/>
    </xf>
    <xf numFmtId="0" fontId="0" fillId="5" borderId="5" xfId="0" applyFill="1" applyBorder="1" applyAlignment="1"/>
    <xf numFmtId="0" fontId="4" fillId="5" borderId="6" xfId="0" applyFont="1" applyFill="1" applyBorder="1">
      <alignment vertical="center"/>
    </xf>
    <xf numFmtId="0" fontId="4" fillId="5" borderId="0" xfId="0" applyFont="1" applyFill="1">
      <alignment vertical="center"/>
    </xf>
    <xf numFmtId="0" fontId="0" fillId="5" borderId="7" xfId="0" applyFill="1" applyBorder="1" applyAlignment="1"/>
    <xf numFmtId="0" fontId="4" fillId="5" borderId="8" xfId="0" applyFont="1" applyFill="1" applyBorder="1">
      <alignment vertical="center"/>
    </xf>
    <xf numFmtId="0" fontId="4" fillId="5" borderId="9" xfId="0" applyFont="1" applyFill="1" applyBorder="1">
      <alignment vertical="center"/>
    </xf>
    <xf numFmtId="0" fontId="0" fillId="5" borderId="10" xfId="0" applyFill="1" applyBorder="1" applyAlignment="1"/>
    <xf numFmtId="0" fontId="6" fillId="6" borderId="1" xfId="0" applyFont="1" applyFill="1" applyBorder="1" applyAlignment="1">
      <alignment horizontal="center"/>
    </xf>
    <xf numFmtId="176" fontId="5" fillId="4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9" fontId="0" fillId="0" borderId="0" xfId="0" applyNumberFormat="1">
      <alignment vertical="center"/>
    </xf>
    <xf numFmtId="10" fontId="0" fillId="0" borderId="0" xfId="0" applyNumberFormat="1">
      <alignment vertical="center"/>
    </xf>
    <xf numFmtId="177" fontId="4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7" fillId="0" borderId="0" xfId="0" applyFont="1">
      <alignment vertical="center"/>
    </xf>
    <xf numFmtId="178" fontId="4" fillId="0" borderId="13" xfId="0" applyNumberFormat="1" applyFont="1" applyBorder="1" applyAlignment="1">
      <alignment horizontal="center" vertical="center"/>
    </xf>
    <xf numFmtId="178" fontId="4" fillId="0" borderId="2" xfId="0" applyNumberFormat="1" applyFont="1" applyBorder="1" applyAlignment="1">
      <alignment horizontal="center" vertical="center"/>
    </xf>
    <xf numFmtId="178" fontId="4" fillId="7" borderId="0" xfId="0" applyNumberFormat="1" applyFont="1" applyFill="1" applyAlignment="1">
      <alignment vertical="center" wrapText="1"/>
    </xf>
    <xf numFmtId="178" fontId="4" fillId="0" borderId="12" xfId="0" applyNumberFormat="1" applyFont="1" applyBorder="1">
      <alignment vertical="center"/>
    </xf>
    <xf numFmtId="178" fontId="4" fillId="0" borderId="12" xfId="0" applyNumberFormat="1" applyFont="1" applyBorder="1" applyAlignment="1">
      <alignment vertical="center" wrapText="1"/>
    </xf>
    <xf numFmtId="178" fontId="4" fillId="0" borderId="4" xfId="0" applyNumberFormat="1" applyFont="1" applyBorder="1" applyAlignment="1">
      <alignment vertical="center" wrapText="1"/>
    </xf>
    <xf numFmtId="178" fontId="4" fillId="0" borderId="5" xfId="0" applyNumberFormat="1" applyFont="1" applyBorder="1" applyAlignment="1">
      <alignment vertical="center" wrapText="1"/>
    </xf>
    <xf numFmtId="178" fontId="4" fillId="0" borderId="5" xfId="0" applyNumberFormat="1" applyFont="1" applyBorder="1">
      <alignment vertical="center"/>
    </xf>
    <xf numFmtId="178" fontId="4" fillId="7" borderId="12" xfId="0" applyNumberFormat="1" applyFont="1" applyFill="1" applyBorder="1" applyAlignment="1">
      <alignment vertical="center" wrapText="1"/>
    </xf>
    <xf numFmtId="178" fontId="4" fillId="7" borderId="4" xfId="0" applyNumberFormat="1" applyFont="1" applyFill="1" applyBorder="1" applyAlignment="1">
      <alignment vertical="center" wrapText="1"/>
    </xf>
    <xf numFmtId="178" fontId="4" fillId="7" borderId="5" xfId="0" applyNumberFormat="1" applyFont="1" applyFill="1" applyBorder="1" applyAlignment="1">
      <alignment vertical="center" wrapText="1"/>
    </xf>
    <xf numFmtId="178" fontId="4" fillId="7" borderId="5" xfId="0" applyNumberFormat="1" applyFont="1" applyFill="1" applyBorder="1">
      <alignment vertical="center"/>
    </xf>
    <xf numFmtId="178" fontId="4" fillId="0" borderId="14" xfId="0" applyNumberFormat="1" applyFont="1" applyBorder="1">
      <alignment vertical="center"/>
    </xf>
    <xf numFmtId="178" fontId="4" fillId="0" borderId="14" xfId="0" applyNumberFormat="1" applyFont="1" applyBorder="1" applyAlignment="1">
      <alignment vertical="center" wrapText="1"/>
    </xf>
    <xf numFmtId="178" fontId="4" fillId="0" borderId="0" xfId="0" applyNumberFormat="1" applyFont="1" applyAlignment="1">
      <alignment vertical="center" wrapText="1"/>
    </xf>
    <xf numFmtId="178" fontId="4" fillId="0" borderId="7" xfId="0" applyNumberFormat="1" applyFont="1" applyBorder="1" applyAlignment="1">
      <alignment vertical="center" wrapText="1"/>
    </xf>
    <xf numFmtId="178" fontId="4" fillId="0" borderId="7" xfId="0" applyNumberFormat="1" applyFont="1" applyBorder="1">
      <alignment vertical="center"/>
    </xf>
    <xf numFmtId="178" fontId="4" fillId="7" borderId="14" xfId="0" applyNumberFormat="1" applyFont="1" applyFill="1" applyBorder="1" applyAlignment="1">
      <alignment vertical="center" wrapText="1"/>
    </xf>
    <xf numFmtId="178" fontId="4" fillId="7" borderId="7" xfId="0" applyNumberFormat="1" applyFont="1" applyFill="1" applyBorder="1" applyAlignment="1">
      <alignment vertical="center" wrapText="1"/>
    </xf>
    <xf numFmtId="178" fontId="4" fillId="7" borderId="7" xfId="0" applyNumberFormat="1" applyFont="1" applyFill="1" applyBorder="1">
      <alignment vertical="center"/>
    </xf>
    <xf numFmtId="178" fontId="4" fillId="0" borderId="15" xfId="0" applyNumberFormat="1" applyFont="1" applyBorder="1">
      <alignment vertical="center"/>
    </xf>
    <xf numFmtId="178" fontId="4" fillId="0" borderId="15" xfId="0" applyNumberFormat="1" applyFont="1" applyBorder="1" applyAlignment="1">
      <alignment vertical="center" wrapText="1"/>
    </xf>
    <xf numFmtId="178" fontId="4" fillId="0" borderId="9" xfId="0" applyNumberFormat="1" applyFont="1" applyBorder="1" applyAlignment="1">
      <alignment vertical="center" wrapText="1"/>
    </xf>
    <xf numFmtId="178" fontId="4" fillId="0" borderId="10" xfId="0" applyNumberFormat="1" applyFont="1" applyBorder="1" applyAlignment="1">
      <alignment vertical="center" wrapText="1"/>
    </xf>
    <xf numFmtId="178" fontId="4" fillId="0" borderId="10" xfId="0" applyNumberFormat="1" applyFont="1" applyBorder="1">
      <alignment vertical="center"/>
    </xf>
    <xf numFmtId="178" fontId="4" fillId="7" borderId="15" xfId="0" applyNumberFormat="1" applyFont="1" applyFill="1" applyBorder="1" applyAlignment="1">
      <alignment vertical="center" wrapText="1"/>
    </xf>
    <xf numFmtId="178" fontId="4" fillId="7" borderId="9" xfId="0" applyNumberFormat="1" applyFont="1" applyFill="1" applyBorder="1" applyAlignment="1">
      <alignment vertical="center" wrapText="1"/>
    </xf>
    <xf numFmtId="178" fontId="4" fillId="7" borderId="10" xfId="0" applyNumberFormat="1" applyFont="1" applyFill="1" applyBorder="1" applyAlignment="1">
      <alignment vertical="center" wrapText="1"/>
    </xf>
    <xf numFmtId="178" fontId="4" fillId="7" borderId="10" xfId="0" applyNumberFormat="1" applyFont="1" applyFill="1" applyBorder="1">
      <alignment vertical="center"/>
    </xf>
    <xf numFmtId="178" fontId="0" fillId="0" borderId="0" xfId="0" applyNumberFormat="1">
      <alignment vertical="center"/>
    </xf>
    <xf numFmtId="178" fontId="4" fillId="0" borderId="14" xfId="0" applyNumberFormat="1" applyFont="1" applyBorder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178" fontId="4" fillId="0" borderId="7" xfId="0" applyNumberFormat="1" applyFont="1" applyBorder="1" applyAlignment="1">
      <alignment horizontal="center" vertical="center"/>
    </xf>
    <xf numFmtId="178" fontId="4" fillId="7" borderId="14" xfId="0" applyNumberFormat="1" applyFont="1" applyFill="1" applyBorder="1" applyAlignment="1">
      <alignment horizontal="center" vertical="center"/>
    </xf>
    <xf numFmtId="178" fontId="4" fillId="7" borderId="0" xfId="0" applyNumberFormat="1" applyFont="1" applyFill="1" applyAlignment="1">
      <alignment horizontal="center" vertical="center"/>
    </xf>
    <xf numFmtId="178" fontId="4" fillId="7" borderId="7" xfId="0" applyNumberFormat="1" applyFont="1" applyFill="1" applyBorder="1" applyAlignment="1">
      <alignment horizontal="center" vertical="center"/>
    </xf>
    <xf numFmtId="178" fontId="4" fillId="0" borderId="4" xfId="0" applyNumberFormat="1" applyFont="1" applyBorder="1">
      <alignment vertical="center"/>
    </xf>
    <xf numFmtId="178" fontId="4" fillId="7" borderId="4" xfId="0" applyNumberFormat="1" applyFont="1" applyFill="1" applyBorder="1">
      <alignment vertical="center"/>
    </xf>
    <xf numFmtId="178" fontId="4" fillId="7" borderId="12" xfId="0" applyNumberFormat="1" applyFont="1" applyFill="1" applyBorder="1">
      <alignment vertical="center"/>
    </xf>
    <xf numFmtId="178" fontId="4" fillId="0" borderId="0" xfId="0" applyNumberFormat="1" applyFont="1">
      <alignment vertical="center"/>
    </xf>
    <xf numFmtId="178" fontId="4" fillId="7" borderId="0" xfId="0" applyNumberFormat="1" applyFont="1" applyFill="1">
      <alignment vertical="center"/>
    </xf>
    <xf numFmtId="178" fontId="4" fillId="7" borderId="14" xfId="0" applyNumberFormat="1" applyFont="1" applyFill="1" applyBorder="1">
      <alignment vertical="center"/>
    </xf>
    <xf numFmtId="178" fontId="4" fillId="0" borderId="9" xfId="0" applyNumberFormat="1" applyFont="1" applyBorder="1">
      <alignment vertical="center"/>
    </xf>
    <xf numFmtId="178" fontId="4" fillId="7" borderId="9" xfId="0" applyNumberFormat="1" applyFont="1" applyFill="1" applyBorder="1">
      <alignment vertical="center"/>
    </xf>
    <xf numFmtId="178" fontId="4" fillId="7" borderId="15" xfId="0" applyNumberFormat="1" applyFont="1" applyFill="1" applyBorder="1">
      <alignment vertical="center"/>
    </xf>
    <xf numFmtId="0" fontId="8" fillId="8" borderId="0" xfId="0" applyFont="1" applyFill="1">
      <alignment vertical="center"/>
    </xf>
    <xf numFmtId="178" fontId="4" fillId="0" borderId="12" xfId="0" applyNumberFormat="1" applyFont="1" applyBorder="1" applyAlignment="1">
      <alignment horizontal="center" vertical="center"/>
    </xf>
    <xf numFmtId="178" fontId="4" fillId="0" borderId="15" xfId="0" applyNumberFormat="1" applyFont="1" applyBorder="1" applyAlignment="1">
      <alignment horizontal="center" vertical="center"/>
    </xf>
    <xf numFmtId="178" fontId="4" fillId="0" borderId="9" xfId="0" applyNumberFormat="1" applyFont="1" applyBorder="1" applyAlignment="1">
      <alignment horizontal="center" vertical="center"/>
    </xf>
    <xf numFmtId="178" fontId="4" fillId="0" borderId="10" xfId="0" applyNumberFormat="1" applyFont="1" applyBorder="1" applyAlignment="1">
      <alignment horizontal="center" vertical="center"/>
    </xf>
    <xf numFmtId="178" fontId="4" fillId="7" borderId="15" xfId="0" applyNumberFormat="1" applyFont="1" applyFill="1" applyBorder="1" applyAlignment="1">
      <alignment horizontal="center" vertical="center"/>
    </xf>
    <xf numFmtId="178" fontId="4" fillId="7" borderId="0" xfId="0" applyNumberFormat="1" applyFont="1" applyFill="1" applyAlignment="1">
      <alignment horizontal="center" vertical="center" wrapText="1"/>
    </xf>
    <xf numFmtId="178" fontId="4" fillId="7" borderId="10" xfId="0" applyNumberFormat="1" applyFont="1" applyFill="1" applyBorder="1" applyAlignment="1">
      <alignment horizontal="center" vertical="center"/>
    </xf>
    <xf numFmtId="179" fontId="10" fillId="0" borderId="0" xfId="0" applyNumberFormat="1" applyFont="1" applyAlignment="1">
      <alignment horizontal="left" vertical="center"/>
    </xf>
    <xf numFmtId="179" fontId="7" fillId="0" borderId="0" xfId="0" applyNumberFormat="1" applyFont="1" applyAlignment="1"/>
    <xf numFmtId="179" fontId="5" fillId="0" borderId="0" xfId="0" applyNumberFormat="1" applyFont="1" applyAlignment="1">
      <alignment horizontal="left" vertical="center"/>
    </xf>
    <xf numFmtId="179" fontId="5" fillId="0" borderId="0" xfId="0" applyNumberFormat="1" applyFont="1" applyAlignment="1"/>
    <xf numFmtId="178" fontId="0" fillId="0" borderId="0" xfId="0" applyNumberFormat="1" applyAlignment="1">
      <alignment vertical="center" wrapText="1"/>
    </xf>
    <xf numFmtId="3" fontId="0" fillId="0" borderId="0" xfId="0" applyNumberFormat="1" applyAlignment="1">
      <alignment vertical="center" wrapText="1"/>
    </xf>
    <xf numFmtId="0" fontId="0" fillId="0" borderId="0" xfId="0" applyAlignment="1"/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178" fontId="4" fillId="0" borderId="12" xfId="0" applyNumberFormat="1" applyFont="1" applyBorder="1" applyAlignment="1">
      <alignment horizontal="center" vertical="center"/>
    </xf>
    <xf numFmtId="178" fontId="4" fillId="0" borderId="5" xfId="0" applyNumberFormat="1" applyFont="1" applyBorder="1" applyAlignment="1">
      <alignment horizontal="center" vertical="center"/>
    </xf>
    <xf numFmtId="178" fontId="4" fillId="0" borderId="14" xfId="0" applyNumberFormat="1" applyFont="1" applyBorder="1" applyAlignment="1">
      <alignment horizontal="center" vertical="center"/>
    </xf>
    <xf numFmtId="178" fontId="4" fillId="0" borderId="7" xfId="0" applyNumberFormat="1" applyFont="1" applyBorder="1" applyAlignment="1">
      <alignment horizontal="center" vertical="center"/>
    </xf>
    <xf numFmtId="178" fontId="4" fillId="0" borderId="15" xfId="0" applyNumberFormat="1" applyFont="1" applyBorder="1" applyAlignment="1">
      <alignment horizontal="center" vertical="center"/>
    </xf>
    <xf numFmtId="178" fontId="4" fillId="0" borderId="10" xfId="0" applyNumberFormat="1" applyFont="1" applyBorder="1" applyAlignment="1">
      <alignment horizontal="center" vertical="center"/>
    </xf>
    <xf numFmtId="178" fontId="4" fillId="0" borderId="11" xfId="0" applyNumberFormat="1" applyFont="1" applyBorder="1" applyAlignment="1">
      <alignment horizontal="center" vertical="center"/>
    </xf>
    <xf numFmtId="178" fontId="4" fillId="0" borderId="13" xfId="0" applyNumberFormat="1" applyFont="1" applyBorder="1" applyAlignment="1">
      <alignment horizontal="center" vertical="center"/>
    </xf>
    <xf numFmtId="178" fontId="4" fillId="0" borderId="2" xfId="0" applyNumberFormat="1" applyFont="1" applyBorder="1" applyAlignment="1">
      <alignment horizontal="center" vertical="center"/>
    </xf>
    <xf numFmtId="178" fontId="4" fillId="7" borderId="11" xfId="0" applyNumberFormat="1" applyFont="1" applyFill="1" applyBorder="1" applyAlignment="1">
      <alignment horizontal="center" vertical="center"/>
    </xf>
    <xf numFmtId="178" fontId="4" fillId="7" borderId="13" xfId="0" applyNumberFormat="1" applyFont="1" applyFill="1" applyBorder="1" applyAlignment="1">
      <alignment horizontal="center" vertical="center"/>
    </xf>
    <xf numFmtId="178" fontId="0" fillId="0" borderId="13" xfId="0" applyNumberFormat="1" applyBorder="1">
      <alignment vertical="center"/>
    </xf>
    <xf numFmtId="178" fontId="0" fillId="0" borderId="2" xfId="0" applyNumberFormat="1" applyBorder="1">
      <alignment vertical="center"/>
    </xf>
    <xf numFmtId="178" fontId="0" fillId="0" borderId="2" xfId="0" applyNumberFormat="1" applyBorder="1" applyAlignment="1">
      <alignment horizontal="center" vertical="center"/>
    </xf>
    <xf numFmtId="178" fontId="4" fillId="7" borderId="2" xfId="0" applyNumberFormat="1" applyFont="1" applyFill="1" applyBorder="1" applyAlignment="1">
      <alignment horizontal="center" vertical="center"/>
    </xf>
    <xf numFmtId="178" fontId="4" fillId="0" borderId="12" xfId="0" applyNumberFormat="1" applyFont="1" applyBorder="1" applyAlignment="1">
      <alignment vertical="center" textRotation="255" wrapText="1"/>
    </xf>
    <xf numFmtId="178" fontId="4" fillId="0" borderId="14" xfId="0" applyNumberFormat="1" applyFont="1" applyBorder="1" applyAlignment="1">
      <alignment vertical="center" textRotation="255" wrapText="1"/>
    </xf>
    <xf numFmtId="178" fontId="4" fillId="0" borderId="15" xfId="0" applyNumberFormat="1" applyFont="1" applyBorder="1" applyAlignment="1">
      <alignment vertical="center" textRotation="255" wrapText="1"/>
    </xf>
    <xf numFmtId="178" fontId="4" fillId="0" borderId="3" xfId="0" applyNumberFormat="1" applyFont="1" applyBorder="1" applyAlignment="1">
      <alignment vertical="center" textRotation="255"/>
    </xf>
    <xf numFmtId="178" fontId="4" fillId="0" borderId="6" xfId="0" applyNumberFormat="1" applyFont="1" applyBorder="1" applyAlignment="1">
      <alignment vertical="center" textRotation="255"/>
    </xf>
    <xf numFmtId="178" fontId="4" fillId="0" borderId="8" xfId="0" applyNumberFormat="1" applyFont="1" applyBorder="1" applyAlignment="1">
      <alignment vertical="center" textRotation="255"/>
    </xf>
    <xf numFmtId="178" fontId="4" fillId="0" borderId="0" xfId="0" applyNumberFormat="1" applyFont="1" applyBorder="1" applyAlignment="1">
      <alignment horizontal="center" vertical="center"/>
    </xf>
    <xf numFmtId="178" fontId="4" fillId="0" borderId="0" xfId="0" applyNumberFormat="1" applyFont="1" applyBorder="1" applyAlignment="1">
      <alignment vertical="center" wrapText="1"/>
    </xf>
    <xf numFmtId="178" fontId="4" fillId="7" borderId="0" xfId="0" applyNumberFormat="1" applyFont="1" applyFill="1" applyBorder="1" applyAlignment="1">
      <alignment vertical="center" wrapText="1"/>
    </xf>
    <xf numFmtId="177" fontId="11" fillId="0" borderId="0" xfId="0" applyNumberFormat="1" applyFont="1">
      <alignment vertical="center"/>
    </xf>
    <xf numFmtId="176" fontId="12" fillId="8" borderId="0" xfId="0" applyNumberFormat="1" applyFont="1" applyFill="1" applyAlignment="1">
      <alignment horizontal="left" vertical="center"/>
    </xf>
  </cellXfs>
  <cellStyles count="1">
    <cellStyle name="一般" xfId="0" builtinId="0"/>
  </cellStyles>
  <dxfs count="18"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對照日期電子期未平倉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表格!$G$30</c:f>
              <c:strCache>
                <c:ptCount val="1"/>
                <c:pt idx="0">
                  <c:v>自營商Sell電子期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表格!$H$30:$H$32</c:f>
              <c:numCache>
                <c:formatCode>0_ </c:formatCode>
                <c:ptCount val="3"/>
                <c:pt idx="0">
                  <c:v>767.63461538461536</c:v>
                </c:pt>
                <c:pt idx="1">
                  <c:v>767.64970059880238</c:v>
                </c:pt>
                <c:pt idx="2">
                  <c:v>767.65005476451256</c:v>
                </c:pt>
              </c:numCache>
            </c:numRef>
          </c:cat>
          <c:val>
            <c:numRef>
              <c:f>表格!$J$30:$L$30</c:f>
              <c:numCache>
                <c:formatCode>0_ </c:formatCode>
                <c:ptCount val="3"/>
                <c:pt idx="0">
                  <c:v>-153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D72D-4864-BE00-2553ACA1824B}"/>
            </c:ext>
          </c:extLst>
        </c:ser>
        <c:ser>
          <c:idx val="1"/>
          <c:order val="1"/>
          <c:tx>
            <c:strRef>
              <c:f>表格!$G$31</c:f>
              <c:strCache>
                <c:ptCount val="1"/>
                <c:pt idx="0">
                  <c:v>投信Buy電子期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表格!$H$30:$H$32</c:f>
              <c:numCache>
                <c:formatCode>0_ </c:formatCode>
                <c:ptCount val="3"/>
                <c:pt idx="0">
                  <c:v>767.63461538461536</c:v>
                </c:pt>
                <c:pt idx="1">
                  <c:v>767.64970059880238</c:v>
                </c:pt>
                <c:pt idx="2">
                  <c:v>767.65005476451256</c:v>
                </c:pt>
              </c:numCache>
            </c:numRef>
          </c:cat>
          <c:val>
            <c:numRef>
              <c:f>表格!$J$31:$L$31</c:f>
              <c:numCache>
                <c:formatCode>0_ </c:formatCode>
                <c:ptCount val="3"/>
                <c:pt idx="1">
                  <c:v>167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D72D-4864-BE00-2553ACA1824B}"/>
            </c:ext>
          </c:extLst>
        </c:ser>
        <c:ser>
          <c:idx val="2"/>
          <c:order val="2"/>
          <c:tx>
            <c:strRef>
              <c:f>表格!$G$32</c:f>
              <c:strCache>
                <c:ptCount val="1"/>
                <c:pt idx="0">
                  <c:v>外資Buy電子期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表格!$H$30:$H$32</c:f>
              <c:numCache>
                <c:formatCode>0_ </c:formatCode>
                <c:ptCount val="3"/>
                <c:pt idx="0">
                  <c:v>767.63461538461536</c:v>
                </c:pt>
                <c:pt idx="1">
                  <c:v>767.64970059880238</c:v>
                </c:pt>
                <c:pt idx="2">
                  <c:v>767.65005476451256</c:v>
                </c:pt>
              </c:numCache>
            </c:numRef>
          </c:cat>
          <c:val>
            <c:numRef>
              <c:f>表格!$J$32:$L$32</c:f>
              <c:numCache>
                <c:formatCode>0_ </c:formatCode>
                <c:ptCount val="3"/>
                <c:pt idx="2">
                  <c:v>373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D72D-4864-BE00-2553ACA1824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82972032"/>
        <c:axId val="82994304"/>
      </c:barChart>
      <c:catAx>
        <c:axId val="82972032"/>
        <c:scaling>
          <c:orientation val="minMax"/>
        </c:scaling>
        <c:delete val="0"/>
        <c:axPos val="l"/>
        <c:numFmt formatCode="0_ 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82994304"/>
        <c:crossesAt val="0"/>
        <c:auto val="1"/>
        <c:lblAlgn val="ctr"/>
        <c:lblOffset val="100"/>
        <c:noMultiLvlLbl val="0"/>
      </c:catAx>
      <c:valAx>
        <c:axId val="82994304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829720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最新日期電子期未平倉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表格!$G$102</c:f>
              <c:strCache>
                <c:ptCount val="1"/>
                <c:pt idx="0">
                  <c:v>自營商Buy電子期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表格!$H$102:$H$104</c:f>
              <c:numCache>
                <c:formatCode>0_ </c:formatCode>
                <c:ptCount val="3"/>
                <c:pt idx="0">
                  <c:v>788.57651991614262</c:v>
                </c:pt>
                <c:pt idx="1">
                  <c:v>788.7893939393939</c:v>
                </c:pt>
                <c:pt idx="2">
                  <c:v>788.90208078335377</c:v>
                </c:pt>
              </c:numCache>
            </c:numRef>
          </c:cat>
          <c:val>
            <c:numRef>
              <c:f>表格!$J$102:$L$102</c:f>
              <c:numCache>
                <c:formatCode>0_ </c:formatCode>
                <c:ptCount val="3"/>
                <c:pt idx="0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585C-4FCA-B53C-AF45DCE67BDF}"/>
            </c:ext>
          </c:extLst>
        </c:ser>
        <c:ser>
          <c:idx val="1"/>
          <c:order val="1"/>
          <c:tx>
            <c:strRef>
              <c:f>表格!$G$103</c:f>
              <c:strCache>
                <c:ptCount val="1"/>
                <c:pt idx="0">
                  <c:v>投信Buy電子期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表格!$H$102:$H$104</c:f>
              <c:numCache>
                <c:formatCode>0_ </c:formatCode>
                <c:ptCount val="3"/>
                <c:pt idx="0">
                  <c:v>788.57651991614262</c:v>
                </c:pt>
                <c:pt idx="1">
                  <c:v>788.7893939393939</c:v>
                </c:pt>
                <c:pt idx="2">
                  <c:v>788.90208078335377</c:v>
                </c:pt>
              </c:numCache>
            </c:numRef>
          </c:cat>
          <c:val>
            <c:numRef>
              <c:f>表格!$J$103:$L$103</c:f>
              <c:numCache>
                <c:formatCode>0_ </c:formatCode>
                <c:ptCount val="3"/>
                <c:pt idx="1">
                  <c:v>165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585C-4FCA-B53C-AF45DCE67BDF}"/>
            </c:ext>
          </c:extLst>
        </c:ser>
        <c:ser>
          <c:idx val="2"/>
          <c:order val="2"/>
          <c:tx>
            <c:strRef>
              <c:f>表格!$G$104</c:f>
              <c:strCache>
                <c:ptCount val="1"/>
                <c:pt idx="0">
                  <c:v>外資Buy電子期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表格!$H$102:$H$104</c:f>
              <c:numCache>
                <c:formatCode>0_ </c:formatCode>
                <c:ptCount val="3"/>
                <c:pt idx="0">
                  <c:v>788.57651991614262</c:v>
                </c:pt>
                <c:pt idx="1">
                  <c:v>788.7893939393939</c:v>
                </c:pt>
                <c:pt idx="2">
                  <c:v>788.90208078335377</c:v>
                </c:pt>
              </c:numCache>
            </c:numRef>
          </c:cat>
          <c:val>
            <c:numRef>
              <c:f>表格!$J$104:$L$104</c:f>
              <c:numCache>
                <c:formatCode>0_ </c:formatCode>
                <c:ptCount val="3"/>
                <c:pt idx="2">
                  <c:v>343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585C-4FCA-B53C-AF45DCE67B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83033472"/>
        <c:axId val="84112512"/>
      </c:barChart>
      <c:catAx>
        <c:axId val="83033472"/>
        <c:scaling>
          <c:orientation val="minMax"/>
        </c:scaling>
        <c:delete val="0"/>
        <c:axPos val="l"/>
        <c:numFmt formatCode="0_ 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84112512"/>
        <c:crossesAt val="0"/>
        <c:auto val="1"/>
        <c:lblAlgn val="ctr"/>
        <c:lblOffset val="100"/>
        <c:noMultiLvlLbl val="0"/>
      </c:catAx>
      <c:valAx>
        <c:axId val="84112512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830334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 sz="840"/>
              <a:t>對照日期</a:t>
            </a:r>
            <a:r>
              <a:rPr lang="zh-TW" sz="840"/>
              <a:t>加權指數</a:t>
            </a:r>
            <a:r>
              <a:rPr lang="zh-TW" altLang="en-US" sz="840"/>
              <a:t>當</a:t>
            </a:r>
            <a:r>
              <a:rPr lang="zh-TW" sz="840"/>
              <a:t>日交易淨口數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表格!$G$2</c:f>
              <c:strCache>
                <c:ptCount val="1"/>
                <c:pt idx="0">
                  <c:v>外資Buy-Call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表格!$J$2:$U$2</c:f>
              <c:numCache>
                <c:formatCode>0_ </c:formatCode>
                <c:ptCount val="12"/>
                <c:pt idx="0">
                  <c:v>2118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D1D9-49D7-83ED-17B95D24C3F3}"/>
            </c:ext>
          </c:extLst>
        </c:ser>
        <c:ser>
          <c:idx val="1"/>
          <c:order val="1"/>
          <c:tx>
            <c:strRef>
              <c:f>表格!$G$3</c:f>
              <c:strCache>
                <c:ptCount val="1"/>
                <c:pt idx="0">
                  <c:v>自營商Sell-Call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表格!$J$3:$U$3</c:f>
              <c:numCache>
                <c:formatCode>0_ </c:formatCode>
                <c:ptCount val="12"/>
                <c:pt idx="1">
                  <c:v>-18969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D1D9-49D7-83ED-17B95D24C3F3}"/>
            </c:ext>
          </c:extLst>
        </c:ser>
        <c:ser>
          <c:idx val="2"/>
          <c:order val="2"/>
          <c:tx>
            <c:strRef>
              <c:f>表格!$G$4</c:f>
              <c:strCache>
                <c:ptCount val="1"/>
                <c:pt idx="0">
                  <c:v>投信Sell大台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表格!$J$4:$U$4</c:f>
              <c:numCache>
                <c:formatCode>0_ </c:formatCode>
                <c:ptCount val="12"/>
                <c:pt idx="2">
                  <c:v>-121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D1D9-49D7-83ED-17B95D24C3F3}"/>
            </c:ext>
          </c:extLst>
        </c:ser>
        <c:ser>
          <c:idx val="3"/>
          <c:order val="3"/>
          <c:tx>
            <c:strRef>
              <c:f>表格!$G$5</c:f>
              <c:strCache>
                <c:ptCount val="1"/>
                <c:pt idx="0">
                  <c:v>自營商Sell-Put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表格!$J$5:$U$5</c:f>
              <c:numCache>
                <c:formatCode>0_ </c:formatCode>
                <c:ptCount val="12"/>
                <c:pt idx="3">
                  <c:v>1577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3-D1D9-49D7-83ED-17B95D24C3F3}"/>
            </c:ext>
          </c:extLst>
        </c:ser>
        <c:ser>
          <c:idx val="4"/>
          <c:order val="4"/>
          <c:tx>
            <c:strRef>
              <c:f>表格!$G$6</c:f>
              <c:strCache>
                <c:ptCount val="1"/>
                <c:pt idx="0">
                  <c:v>外資Buy-Put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表格!$J$6:$U$6</c:f>
              <c:numCache>
                <c:formatCode>0_ </c:formatCode>
                <c:ptCount val="12"/>
                <c:pt idx="4">
                  <c:v>-1824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4-D1D9-49D7-83ED-17B95D24C3F3}"/>
            </c:ext>
          </c:extLst>
        </c:ser>
        <c:ser>
          <c:idx val="5"/>
          <c:order val="5"/>
          <c:tx>
            <c:strRef>
              <c:f>表格!$G$7</c:f>
              <c:strCache>
                <c:ptCount val="1"/>
                <c:pt idx="0">
                  <c:v>自營商Sell大台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表格!$J$7:$U$7</c:f>
              <c:numCache>
                <c:formatCode>0_ </c:formatCode>
                <c:ptCount val="12"/>
                <c:pt idx="5">
                  <c:v>-402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5-D1D9-49D7-83ED-17B95D24C3F3}"/>
            </c:ext>
          </c:extLst>
        </c:ser>
        <c:ser>
          <c:idx val="6"/>
          <c:order val="6"/>
          <c:tx>
            <c:strRef>
              <c:f>表格!$G$8</c:f>
              <c:strCache>
                <c:ptCount val="1"/>
                <c:pt idx="0">
                  <c:v>自營商Sell小台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表格!$J$8:$U$8</c:f>
              <c:numCache>
                <c:formatCode>0_ </c:formatCode>
                <c:ptCount val="12"/>
                <c:pt idx="6">
                  <c:v>-717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6-D1D9-49D7-83ED-17B95D24C3F3}"/>
            </c:ext>
          </c:extLst>
        </c:ser>
        <c:ser>
          <c:idx val="7"/>
          <c:order val="7"/>
          <c:tx>
            <c:strRef>
              <c:f>表格!$G$9</c:f>
              <c:strCache>
                <c:ptCount val="1"/>
                <c:pt idx="0">
                  <c:v>外資Sell大台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表格!$J$9:$U$9</c:f>
              <c:numCache>
                <c:formatCode>0_ </c:formatCode>
                <c:ptCount val="12"/>
                <c:pt idx="7">
                  <c:v>-2814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7-D1D9-49D7-83ED-17B95D24C3F3}"/>
            </c:ext>
          </c:extLst>
        </c:ser>
        <c:ser>
          <c:idx val="8"/>
          <c:order val="8"/>
          <c:tx>
            <c:strRef>
              <c:f>表格!$G$10</c:f>
              <c:strCache>
                <c:ptCount val="1"/>
                <c:pt idx="0">
                  <c:v>外資Sell小台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表格!$J$10:$U$10</c:f>
              <c:numCache>
                <c:formatCode>0_ </c:formatCode>
                <c:ptCount val="12"/>
                <c:pt idx="8">
                  <c:v>-3461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8-D1D9-49D7-83ED-17B95D24C3F3}"/>
            </c:ext>
          </c:extLst>
        </c:ser>
        <c:ser>
          <c:idx val="9"/>
          <c:order val="9"/>
          <c:tx>
            <c:strRef>
              <c:f>表格!$G$11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表格!$J$11:$U$11</c:f>
              <c:numCache>
                <c:formatCode>0_ </c:formatCode>
                <c:ptCount val="12"/>
                <c:pt idx="9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9-D1D9-49D7-83ED-17B95D24C3F3}"/>
            </c:ext>
          </c:extLst>
        </c:ser>
        <c:ser>
          <c:idx val="10"/>
          <c:order val="10"/>
          <c:tx>
            <c:strRef>
              <c:f>表格!$G$12</c:f>
              <c:strCache>
                <c:ptCount val="1"/>
              </c:strCache>
            </c:strRef>
          </c:tx>
          <c:spPr>
            <a:solidFill>
              <a:srgbClr val="FF0000"/>
            </a:solidFill>
            <a:ln>
              <a:solidFill>
                <a:schemeClr val="accent1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表格!$J$12:$U$12</c:f>
              <c:numCache>
                <c:formatCode>0_ </c:formatCode>
                <c:ptCount val="12"/>
                <c:pt idx="1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  <a:ln>
                    <a:solidFill>
                      <a:schemeClr val="accent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D1D9-49D7-83ED-17B95D24C3F3}"/>
            </c:ext>
          </c:extLst>
        </c:ser>
        <c:ser>
          <c:idx val="11"/>
          <c:order val="11"/>
          <c:tx>
            <c:strRef>
              <c:f>表格!$G$13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表格!$H$2:$H$13</c:f>
              <c:strCache>
                <c:ptCount val="9"/>
                <c:pt idx="0">
                  <c:v>16250 </c:v>
                </c:pt>
                <c:pt idx="1">
                  <c:v>16300 </c:v>
                </c:pt>
                <c:pt idx="2">
                  <c:v>16332 </c:v>
                </c:pt>
                <c:pt idx="3">
                  <c:v>16350 </c:v>
                </c:pt>
                <c:pt idx="4">
                  <c:v>16400 </c:v>
                </c:pt>
                <c:pt idx="5">
                  <c:v>16432 </c:v>
                </c:pt>
                <c:pt idx="6">
                  <c:v>16432 </c:v>
                </c:pt>
                <c:pt idx="7">
                  <c:v>16445 </c:v>
                </c:pt>
                <c:pt idx="8">
                  <c:v>16448 </c:v>
                </c:pt>
              </c:strCache>
            </c:strRef>
          </c:cat>
          <c:val>
            <c:numRef>
              <c:f>表格!$J$13:$U$13</c:f>
              <c:numCache>
                <c:formatCode>0_ </c:formatCode>
                <c:ptCount val="12"/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B-D1D9-49D7-83ED-17B95D24C3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38828288"/>
        <c:axId val="38858752"/>
      </c:barChart>
      <c:catAx>
        <c:axId val="38828288"/>
        <c:scaling>
          <c:orientation val="minMax"/>
        </c:scaling>
        <c:delete val="0"/>
        <c:axPos val="l"/>
        <c:numFmt formatCode="General" sourceLinked="0"/>
        <c:majorTickMark val="cross"/>
        <c:minorTickMark val="none"/>
        <c:tickLblPos val="nextTo"/>
        <c:spPr>
          <a:noFill/>
        </c:spPr>
        <c:txPr>
          <a:bodyPr rot="0" vert="horz"/>
          <a:lstStyle/>
          <a:p>
            <a:pPr>
              <a:defRPr sz="100"/>
            </a:pPr>
            <a:endParaRPr lang="zh-TW"/>
          </a:p>
        </c:txPr>
        <c:crossAx val="38858752"/>
        <c:crossesAt val="0"/>
        <c:auto val="1"/>
        <c:lblAlgn val="ctr"/>
        <c:lblOffset val="0"/>
        <c:tickMarkSkip val="1"/>
        <c:noMultiLvlLbl val="0"/>
      </c:catAx>
      <c:valAx>
        <c:axId val="38858752"/>
        <c:scaling>
          <c:orientation val="minMax"/>
        </c:scaling>
        <c:delete val="0"/>
        <c:axPos val="b"/>
        <c:numFmt formatCode="0_ " sourceLinked="0"/>
        <c:majorTickMark val="none"/>
        <c:minorTickMark val="none"/>
        <c:tickLblPos val="nextTo"/>
        <c:crossAx val="38828288"/>
        <c:crossesAt val="1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7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對照日期</a:t>
            </a:r>
            <a:r>
              <a:rPr lang="zh-TW"/>
              <a:t>加權指數未平倉淨口數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表格!$G$16</c:f>
              <c:strCache>
                <c:ptCount val="1"/>
                <c:pt idx="0">
                  <c:v>外資Buy-Call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表格!$J$16:$U$16</c:f>
              <c:numCache>
                <c:formatCode>0_ </c:formatCode>
                <c:ptCount val="12"/>
                <c:pt idx="0">
                  <c:v>5743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6CCE-4C25-9DB4-1A3FBC5DEC60}"/>
            </c:ext>
          </c:extLst>
        </c:ser>
        <c:ser>
          <c:idx val="1"/>
          <c:order val="1"/>
          <c:tx>
            <c:strRef>
              <c:f>表格!$G$17</c:f>
              <c:strCache>
                <c:ptCount val="1"/>
                <c:pt idx="0">
                  <c:v>自營商Buy大台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表格!$J$17:$U$17</c:f>
              <c:numCache>
                <c:formatCode>0_ </c:formatCode>
                <c:ptCount val="12"/>
                <c:pt idx="1">
                  <c:v>12815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6CCE-4C25-9DB4-1A3FBC5DEC60}"/>
            </c:ext>
          </c:extLst>
        </c:ser>
        <c:ser>
          <c:idx val="2"/>
          <c:order val="2"/>
          <c:tx>
            <c:strRef>
              <c:f>表格!$G$18</c:f>
              <c:strCache>
                <c:ptCount val="1"/>
                <c:pt idx="0">
                  <c:v>自營商Buy小台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表格!$J$18:$U$18</c:f>
              <c:numCache>
                <c:formatCode>0_ </c:formatCode>
                <c:ptCount val="12"/>
                <c:pt idx="2">
                  <c:v>540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6CCE-4C25-9DB4-1A3FBC5DEC60}"/>
            </c:ext>
          </c:extLst>
        </c:ser>
        <c:ser>
          <c:idx val="3"/>
          <c:order val="3"/>
          <c:tx>
            <c:strRef>
              <c:f>表格!$G$19</c:f>
              <c:strCache>
                <c:ptCount val="1"/>
                <c:pt idx="0">
                  <c:v>自營商Sell-Call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表格!$J$19:$U$19</c:f>
              <c:numCache>
                <c:formatCode>0_ </c:formatCode>
                <c:ptCount val="12"/>
                <c:pt idx="3">
                  <c:v>-3292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3-6CCE-4C25-9DB4-1A3FBC5DEC60}"/>
            </c:ext>
          </c:extLst>
        </c:ser>
        <c:ser>
          <c:idx val="4"/>
          <c:order val="4"/>
          <c:tx>
            <c:strRef>
              <c:f>表格!$G$20</c:f>
              <c:strCache>
                <c:ptCount val="1"/>
                <c:pt idx="0">
                  <c:v>外資Sell大台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表格!$J$20:$U$20</c:f>
              <c:numCache>
                <c:formatCode>0_ </c:formatCode>
                <c:ptCount val="12"/>
                <c:pt idx="4">
                  <c:v>-18436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4-6CCE-4C25-9DB4-1A3FBC5DEC60}"/>
            </c:ext>
          </c:extLst>
        </c:ser>
        <c:ser>
          <c:idx val="5"/>
          <c:order val="5"/>
          <c:tx>
            <c:strRef>
              <c:f>表格!$G$21</c:f>
              <c:strCache>
                <c:ptCount val="1"/>
                <c:pt idx="0">
                  <c:v>外資Sell小台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表格!$J$21:$U$21</c:f>
              <c:numCache>
                <c:formatCode>0_ </c:formatCode>
                <c:ptCount val="12"/>
                <c:pt idx="5">
                  <c:v>-15203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5-6CCE-4C25-9DB4-1A3FBC5DEC60}"/>
            </c:ext>
          </c:extLst>
        </c:ser>
        <c:ser>
          <c:idx val="6"/>
          <c:order val="6"/>
          <c:tx>
            <c:strRef>
              <c:f>表格!$G$22</c:f>
              <c:strCache>
                <c:ptCount val="1"/>
                <c:pt idx="0">
                  <c:v>投信Sell大台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表格!$J$22:$U$22</c:f>
              <c:numCache>
                <c:formatCode>0_ </c:formatCode>
                <c:ptCount val="12"/>
                <c:pt idx="6">
                  <c:v>-5352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6-6CCE-4C25-9DB4-1A3FBC5DEC60}"/>
            </c:ext>
          </c:extLst>
        </c:ser>
        <c:ser>
          <c:idx val="7"/>
          <c:order val="7"/>
          <c:tx>
            <c:strRef>
              <c:f>表格!$G$23</c:f>
              <c:strCache>
                <c:ptCount val="1"/>
                <c:pt idx="0">
                  <c:v>投信Buy小台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表格!$J$23:$U$23</c:f>
              <c:numCache>
                <c:formatCode>0_ </c:formatCode>
                <c:ptCount val="12"/>
                <c:pt idx="7">
                  <c:v>250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7-6CCE-4C25-9DB4-1A3FBC5DEC60}"/>
            </c:ext>
          </c:extLst>
        </c:ser>
        <c:ser>
          <c:idx val="8"/>
          <c:order val="8"/>
          <c:tx>
            <c:strRef>
              <c:f>表格!$G$24</c:f>
              <c:strCache>
                <c:ptCount val="1"/>
                <c:pt idx="0">
                  <c:v>自營商Buy-Put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表格!$J$24:$U$24</c:f>
              <c:numCache>
                <c:formatCode>0_ </c:formatCode>
                <c:ptCount val="12"/>
                <c:pt idx="8">
                  <c:v>-6400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8-6CCE-4C25-9DB4-1A3FBC5DEC60}"/>
            </c:ext>
          </c:extLst>
        </c:ser>
        <c:ser>
          <c:idx val="9"/>
          <c:order val="9"/>
          <c:tx>
            <c:strRef>
              <c:f>表格!$G$25</c:f>
              <c:strCache>
                <c:ptCount val="1"/>
                <c:pt idx="0">
                  <c:v>外資Buy-Put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表格!$J$25:$U$25</c:f>
              <c:numCache>
                <c:formatCode>0_ </c:formatCode>
                <c:ptCount val="12"/>
                <c:pt idx="9">
                  <c:v>-36924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9-6CCE-4C25-9DB4-1A3FBC5DEC60}"/>
            </c:ext>
          </c:extLst>
        </c:ser>
        <c:ser>
          <c:idx val="10"/>
          <c:order val="10"/>
          <c:tx>
            <c:strRef>
              <c:f>表格!$G$26</c:f>
              <c:strCache>
                <c:ptCount val="1"/>
                <c:pt idx="0">
                  <c:v>投信Sell-Put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1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表格!$J$26:$U$26</c:f>
              <c:numCache>
                <c:formatCode>0_ </c:formatCode>
                <c:ptCount val="12"/>
                <c:pt idx="10">
                  <c:v>59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  <a:ln>
                    <a:solidFill>
                      <a:schemeClr val="accent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6CCE-4C25-9DB4-1A3FBC5DEC60}"/>
            </c:ext>
          </c:extLst>
        </c:ser>
        <c:ser>
          <c:idx val="11"/>
          <c:order val="11"/>
          <c:tx>
            <c:strRef>
              <c:f>表格!$G$27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表格!$H$16:$H$27</c:f>
              <c:strCache>
                <c:ptCount val="11"/>
                <c:pt idx="0">
                  <c:v>16250 </c:v>
                </c:pt>
                <c:pt idx="1">
                  <c:v>16292 </c:v>
                </c:pt>
                <c:pt idx="2">
                  <c:v>16294 </c:v>
                </c:pt>
                <c:pt idx="3">
                  <c:v>16300 </c:v>
                </c:pt>
                <c:pt idx="4">
                  <c:v>16307 </c:v>
                </c:pt>
                <c:pt idx="5">
                  <c:v>16318 </c:v>
                </c:pt>
                <c:pt idx="6">
                  <c:v>16321 </c:v>
                </c:pt>
                <c:pt idx="7">
                  <c:v>16321 </c:v>
                </c:pt>
                <c:pt idx="8">
                  <c:v>16550 </c:v>
                </c:pt>
                <c:pt idx="9">
                  <c:v>16650 </c:v>
                </c:pt>
                <c:pt idx="10">
                  <c:v>17200 </c:v>
                </c:pt>
              </c:strCache>
            </c:strRef>
          </c:cat>
          <c:val>
            <c:numRef>
              <c:f>表格!$J$27:$U$27</c:f>
              <c:numCache>
                <c:formatCode>0_ </c:formatCode>
                <c:ptCount val="12"/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B-6CCE-4C25-9DB4-1A3FBC5DEC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0928384"/>
        <c:axId val="40929920"/>
      </c:barChart>
      <c:catAx>
        <c:axId val="409283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0929920"/>
        <c:crossesAt val="0"/>
        <c:auto val="1"/>
        <c:lblAlgn val="ctr"/>
        <c:lblOffset val="100"/>
        <c:noMultiLvlLbl val="0"/>
      </c:catAx>
      <c:valAx>
        <c:axId val="40929920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0928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7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對照日期金融期未平倉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表格!$G$33</c:f>
              <c:strCache>
                <c:ptCount val="1"/>
                <c:pt idx="0">
                  <c:v>自營商Buy金融期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表格!$H$33:$H$35</c:f>
              <c:numCache>
                <c:formatCode>0_ </c:formatCode>
                <c:ptCount val="3"/>
                <c:pt idx="0">
                  <c:v>1571.5796812749004</c:v>
                </c:pt>
                <c:pt idx="1">
                  <c:v>1571.5833333333333</c:v>
                </c:pt>
                <c:pt idx="2">
                  <c:v>1571.5998189225893</c:v>
                </c:pt>
              </c:numCache>
            </c:numRef>
          </c:cat>
          <c:val>
            <c:numRef>
              <c:f>表格!$J$33:$L$33</c:f>
              <c:numCache>
                <c:formatCode>0_ </c:formatCode>
                <c:ptCount val="3"/>
                <c:pt idx="0">
                  <c:v>262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A664-4C66-A304-683A544BAEA8}"/>
            </c:ext>
          </c:extLst>
        </c:ser>
        <c:ser>
          <c:idx val="1"/>
          <c:order val="1"/>
          <c:tx>
            <c:strRef>
              <c:f>表格!$G$34</c:f>
              <c:strCache>
                <c:ptCount val="1"/>
                <c:pt idx="0">
                  <c:v>投信Buy金融期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表格!$H$33:$H$35</c:f>
              <c:numCache>
                <c:formatCode>0_ </c:formatCode>
                <c:ptCount val="3"/>
                <c:pt idx="0">
                  <c:v>1571.5796812749004</c:v>
                </c:pt>
                <c:pt idx="1">
                  <c:v>1571.5833333333333</c:v>
                </c:pt>
                <c:pt idx="2">
                  <c:v>1571.5998189225893</c:v>
                </c:pt>
              </c:numCache>
            </c:numRef>
          </c:cat>
          <c:val>
            <c:numRef>
              <c:f>表格!$J$34:$L$34</c:f>
              <c:numCache>
                <c:formatCode>0_ </c:formatCode>
                <c:ptCount val="3"/>
                <c:pt idx="1">
                  <c:v>24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A664-4C66-A304-683A544BAEA8}"/>
            </c:ext>
          </c:extLst>
        </c:ser>
        <c:ser>
          <c:idx val="2"/>
          <c:order val="2"/>
          <c:tx>
            <c:strRef>
              <c:f>表格!$G$35</c:f>
              <c:strCache>
                <c:ptCount val="1"/>
                <c:pt idx="0">
                  <c:v>外資Sell金融期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表格!$H$33:$H$35</c:f>
              <c:numCache>
                <c:formatCode>0_ </c:formatCode>
                <c:ptCount val="3"/>
                <c:pt idx="0">
                  <c:v>1571.5796812749004</c:v>
                </c:pt>
                <c:pt idx="1">
                  <c:v>1571.5833333333333</c:v>
                </c:pt>
                <c:pt idx="2">
                  <c:v>1571.5998189225893</c:v>
                </c:pt>
              </c:numCache>
            </c:numRef>
          </c:cat>
          <c:val>
            <c:numRef>
              <c:f>表格!$J$35:$L$35</c:f>
              <c:numCache>
                <c:formatCode>0_ </c:formatCode>
                <c:ptCount val="3"/>
                <c:pt idx="2">
                  <c:v>-1674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A664-4C66-A304-683A544BAEA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233024"/>
        <c:axId val="41247104"/>
      </c:barChart>
      <c:catAx>
        <c:axId val="41233024"/>
        <c:scaling>
          <c:orientation val="minMax"/>
        </c:scaling>
        <c:delete val="0"/>
        <c:axPos val="l"/>
        <c:numFmt formatCode="0_ 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247104"/>
        <c:crossesAt val="0"/>
        <c:auto val="1"/>
        <c:lblAlgn val="ctr"/>
        <c:lblOffset val="100"/>
        <c:noMultiLvlLbl val="0"/>
      </c:catAx>
      <c:valAx>
        <c:axId val="41247104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2330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對照日期台灣</a:t>
            </a:r>
            <a:r>
              <a:rPr lang="en-US" altLang="zh-TW"/>
              <a:t>50</a:t>
            </a:r>
            <a:r>
              <a:rPr lang="zh-TW" altLang="en-US"/>
              <a:t>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表格!$G$36</c:f>
              <c:strCache>
                <c:ptCount val="1"/>
                <c:pt idx="0">
                  <c:v>外資Buy台灣50期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表格!$H$36:$H$38</c:f>
              <c:strCache>
                <c:ptCount val="2"/>
                <c:pt idx="0">
                  <c:v>7676 </c:v>
                </c:pt>
                <c:pt idx="1">
                  <c:v>7677 </c:v>
                </c:pt>
              </c:strCache>
            </c:strRef>
          </c:cat>
          <c:val>
            <c:numRef>
              <c:f>表格!$J$36:$L$36</c:f>
              <c:numCache>
                <c:formatCode>0_ </c:formatCode>
                <c:ptCount val="3"/>
                <c:pt idx="0">
                  <c:v>24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C04A-411C-927C-B0288FBDE0B9}"/>
            </c:ext>
          </c:extLst>
        </c:ser>
        <c:ser>
          <c:idx val="1"/>
          <c:order val="1"/>
          <c:tx>
            <c:strRef>
              <c:f>表格!$G$37</c:f>
              <c:strCache>
                <c:ptCount val="1"/>
                <c:pt idx="0">
                  <c:v>自營商Buy台灣50期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表格!$H$36:$H$38</c:f>
              <c:strCache>
                <c:ptCount val="2"/>
                <c:pt idx="0">
                  <c:v>7676 </c:v>
                </c:pt>
                <c:pt idx="1">
                  <c:v>7677 </c:v>
                </c:pt>
              </c:strCache>
            </c:strRef>
          </c:cat>
          <c:val>
            <c:numRef>
              <c:f>表格!$J$37:$L$37</c:f>
              <c:numCache>
                <c:formatCode>0_ </c:formatCode>
                <c:ptCount val="3"/>
                <c:pt idx="1">
                  <c:v>70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C04A-411C-927C-B0288FBDE0B9}"/>
            </c:ext>
          </c:extLst>
        </c:ser>
        <c:ser>
          <c:idx val="2"/>
          <c:order val="2"/>
          <c:tx>
            <c:strRef>
              <c:f>表格!$G$38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表格!$H$36:$H$38</c:f>
              <c:strCache>
                <c:ptCount val="2"/>
                <c:pt idx="0">
                  <c:v>7676 </c:v>
                </c:pt>
                <c:pt idx="1">
                  <c:v>7677 </c:v>
                </c:pt>
              </c:strCache>
            </c:strRef>
          </c:cat>
          <c:val>
            <c:numRef>
              <c:f>表格!$J$38:$L$38</c:f>
              <c:numCache>
                <c:formatCode>0_ </c:formatCode>
                <c:ptCount val="3"/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C04A-411C-927C-B0288FBDE0B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270272"/>
        <c:axId val="41280256"/>
      </c:barChart>
      <c:catAx>
        <c:axId val="4127027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280256"/>
        <c:crossesAt val="0"/>
        <c:auto val="1"/>
        <c:lblAlgn val="ctr"/>
        <c:lblOffset val="100"/>
        <c:noMultiLvlLbl val="0"/>
      </c:catAx>
      <c:valAx>
        <c:axId val="41280256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27027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對照日期櫃買指數期未平倉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表格!$G$45</c:f>
              <c:strCache>
                <c:ptCount val="1"/>
                <c:pt idx="0">
                  <c:v>自營商Sell櫃買指數期貨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表格!$H$45:$H$47</c:f>
              <c:numCache>
                <c:formatCode>0_ </c:formatCode>
                <c:ptCount val="3"/>
                <c:pt idx="0">
                  <c:v>130.53312561495574</c:v>
                </c:pt>
                <c:pt idx="1">
                  <c:v>244.65220233306516</c:v>
                </c:pt>
                <c:pt idx="2">
                  <c:v>291.76164549304292</c:v>
                </c:pt>
              </c:numCache>
            </c:numRef>
          </c:cat>
          <c:val>
            <c:numRef>
              <c:f>表格!$J$45:$L$45</c:f>
              <c:numCache>
                <c:formatCode>0_ </c:formatCode>
                <c:ptCount val="3"/>
                <c:pt idx="0">
                  <c:v>-683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8FEF-41AB-B061-1C5CA9BED816}"/>
            </c:ext>
          </c:extLst>
        </c:ser>
        <c:ser>
          <c:idx val="1"/>
          <c:order val="1"/>
          <c:tx>
            <c:strRef>
              <c:f>表格!$G$46</c:f>
              <c:strCache>
                <c:ptCount val="1"/>
                <c:pt idx="0">
                  <c:v>投信Buy櫃買指數期貨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表格!$H$45:$H$47</c:f>
              <c:numCache>
                <c:formatCode>0_ </c:formatCode>
                <c:ptCount val="3"/>
                <c:pt idx="0">
                  <c:v>130.53312561495574</c:v>
                </c:pt>
                <c:pt idx="1">
                  <c:v>244.65220233306516</c:v>
                </c:pt>
                <c:pt idx="2">
                  <c:v>291.76164549304292</c:v>
                </c:pt>
              </c:numCache>
            </c:numRef>
          </c:cat>
          <c:val>
            <c:numRef>
              <c:f>表格!$J$46:$L$46</c:f>
              <c:numCache>
                <c:formatCode>0_ </c:formatCode>
                <c:ptCount val="3"/>
                <c:pt idx="1">
                  <c:v>1180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8FEF-41AB-B061-1C5CA9BED816}"/>
            </c:ext>
          </c:extLst>
        </c:ser>
        <c:ser>
          <c:idx val="2"/>
          <c:order val="2"/>
          <c:tx>
            <c:strRef>
              <c:f>表格!$G$47</c:f>
              <c:strCache>
                <c:ptCount val="1"/>
                <c:pt idx="0">
                  <c:v>外資Sell櫃買指數期貨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表格!$H$45:$H$47</c:f>
              <c:numCache>
                <c:formatCode>0_ </c:formatCode>
                <c:ptCount val="3"/>
                <c:pt idx="0">
                  <c:v>130.53312561495574</c:v>
                </c:pt>
                <c:pt idx="1">
                  <c:v>244.65220233306516</c:v>
                </c:pt>
                <c:pt idx="2">
                  <c:v>291.76164549304292</c:v>
                </c:pt>
              </c:numCache>
            </c:numRef>
          </c:cat>
          <c:val>
            <c:numRef>
              <c:f>表格!$J$47:$L$47</c:f>
              <c:numCache>
                <c:formatCode>0_ </c:formatCode>
                <c:ptCount val="3"/>
                <c:pt idx="2">
                  <c:v>-1743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8FEF-41AB-B061-1C5CA9BED81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0971264"/>
        <c:axId val="40985344"/>
      </c:barChart>
      <c:catAx>
        <c:axId val="40971264"/>
        <c:scaling>
          <c:orientation val="minMax"/>
        </c:scaling>
        <c:delete val="0"/>
        <c:axPos val="l"/>
        <c:numFmt formatCode="0_ 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0985344"/>
        <c:crossesAt val="0"/>
        <c:auto val="1"/>
        <c:lblAlgn val="ctr"/>
        <c:lblOffset val="100"/>
        <c:noMultiLvlLbl val="0"/>
      </c:catAx>
      <c:valAx>
        <c:axId val="40985344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097126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對照日期非金電期未平倉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表格!$G$48</c:f>
              <c:strCache>
                <c:ptCount val="1"/>
                <c:pt idx="0">
                  <c:v>自營商Sell非金電期貨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表格!$H$48:$H$50</c:f>
              <c:strCache>
                <c:ptCount val="1"/>
                <c:pt idx="0">
                  <c:v>7880 </c:v>
                </c:pt>
              </c:strCache>
            </c:strRef>
          </c:cat>
          <c:val>
            <c:numRef>
              <c:f>表格!$J$48:$L$48</c:f>
              <c:numCache>
                <c:formatCode>0_ </c:formatCode>
                <c:ptCount val="3"/>
                <c:pt idx="0">
                  <c:v>-72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903B-4591-9D45-78618A3E39D1}"/>
            </c:ext>
          </c:extLst>
        </c:ser>
        <c:ser>
          <c:idx val="1"/>
          <c:order val="1"/>
          <c:tx>
            <c:strRef>
              <c:f>表格!$G$49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表格!$H$48:$H$50</c:f>
              <c:strCache>
                <c:ptCount val="1"/>
                <c:pt idx="0">
                  <c:v>7880 </c:v>
                </c:pt>
              </c:strCache>
            </c:strRef>
          </c:cat>
          <c:val>
            <c:numRef>
              <c:f>表格!$J$49:$L$49</c:f>
              <c:numCache>
                <c:formatCode>0_ </c:formatCode>
                <c:ptCount val="3"/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903B-4591-9D45-78618A3E39D1}"/>
            </c:ext>
          </c:extLst>
        </c:ser>
        <c:ser>
          <c:idx val="2"/>
          <c:order val="2"/>
          <c:tx>
            <c:strRef>
              <c:f>表格!$G$50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表格!$H$48:$H$50</c:f>
              <c:strCache>
                <c:ptCount val="1"/>
                <c:pt idx="0">
                  <c:v>7880 </c:v>
                </c:pt>
              </c:strCache>
            </c:strRef>
          </c:cat>
          <c:val>
            <c:numRef>
              <c:f>表格!$J$50:$L$50</c:f>
              <c:numCache>
                <c:formatCode>0_ </c:formatCode>
                <c:ptCount val="3"/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903B-4591-9D45-78618A3E39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098240"/>
        <c:axId val="41116416"/>
      </c:barChart>
      <c:catAx>
        <c:axId val="41098240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116416"/>
        <c:crossesAt val="0"/>
        <c:auto val="1"/>
        <c:lblAlgn val="ctr"/>
        <c:lblOffset val="100"/>
        <c:noMultiLvlLbl val="0"/>
      </c:catAx>
      <c:valAx>
        <c:axId val="41116416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0982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最新日期</a:t>
            </a:r>
            <a:r>
              <a:rPr lang="zh-TW"/>
              <a:t>加權指數當日交易淨口數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表格!$G$74</c:f>
              <c:strCache>
                <c:ptCount val="1"/>
                <c:pt idx="0">
                  <c:v>自營商Sell-Put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表格!$J$74:$U$74</c:f>
              <c:numCache>
                <c:formatCode>0_ </c:formatCode>
                <c:ptCount val="12"/>
                <c:pt idx="0">
                  <c:v>2160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C24D-44AE-846D-3D5E96FE1F1B}"/>
            </c:ext>
          </c:extLst>
        </c:ser>
        <c:ser>
          <c:idx val="1"/>
          <c:order val="1"/>
          <c:tx>
            <c:strRef>
              <c:f>表格!$G$75</c:f>
              <c:strCache>
                <c:ptCount val="1"/>
                <c:pt idx="0">
                  <c:v>外資Buy-Put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表格!$J$75:$U$75</c:f>
              <c:numCache>
                <c:formatCode>0_ </c:formatCode>
                <c:ptCount val="12"/>
                <c:pt idx="1">
                  <c:v>-1626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C24D-44AE-846D-3D5E96FE1F1B}"/>
            </c:ext>
          </c:extLst>
        </c:ser>
        <c:ser>
          <c:idx val="2"/>
          <c:order val="2"/>
          <c:tx>
            <c:strRef>
              <c:f>表格!$G$76</c:f>
              <c:strCache>
                <c:ptCount val="1"/>
                <c:pt idx="0">
                  <c:v>投信Buy小台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表格!$J$76:$U$76</c:f>
              <c:numCache>
                <c:formatCode>0_ </c:formatCode>
                <c:ptCount val="12"/>
                <c:pt idx="2">
                  <c:v>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C24D-44AE-846D-3D5E96FE1F1B}"/>
            </c:ext>
          </c:extLst>
        </c:ser>
        <c:ser>
          <c:idx val="3"/>
          <c:order val="3"/>
          <c:tx>
            <c:strRef>
              <c:f>表格!$G$77</c:f>
              <c:strCache>
                <c:ptCount val="1"/>
                <c:pt idx="0">
                  <c:v>外資Buy-Call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表格!$J$77:$U$77</c:f>
              <c:numCache>
                <c:formatCode>0_ </c:formatCode>
                <c:ptCount val="12"/>
                <c:pt idx="3">
                  <c:v>6065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3-C24D-44AE-846D-3D5E96FE1F1B}"/>
            </c:ext>
          </c:extLst>
        </c:ser>
        <c:ser>
          <c:idx val="4"/>
          <c:order val="4"/>
          <c:tx>
            <c:strRef>
              <c:f>表格!$G$78</c:f>
              <c:strCache>
                <c:ptCount val="1"/>
                <c:pt idx="0">
                  <c:v>自營商Sell-Call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表格!$J$78:$U$78</c:f>
              <c:numCache>
                <c:formatCode>0_ </c:formatCode>
                <c:ptCount val="12"/>
                <c:pt idx="4">
                  <c:v>-327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4-C24D-44AE-846D-3D5E96FE1F1B}"/>
            </c:ext>
          </c:extLst>
        </c:ser>
        <c:ser>
          <c:idx val="5"/>
          <c:order val="5"/>
          <c:tx>
            <c:strRef>
              <c:f>表格!$G$79</c:f>
              <c:strCache>
                <c:ptCount val="1"/>
                <c:pt idx="0">
                  <c:v>投信Buy大台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表格!$J$79:$U$79</c:f>
              <c:numCache>
                <c:formatCode>0_ </c:formatCode>
                <c:ptCount val="12"/>
                <c:pt idx="5">
                  <c:v>141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5-C24D-44AE-846D-3D5E96FE1F1B}"/>
            </c:ext>
          </c:extLst>
        </c:ser>
        <c:ser>
          <c:idx val="6"/>
          <c:order val="6"/>
          <c:tx>
            <c:strRef>
              <c:f>表格!$G$80</c:f>
              <c:strCache>
                <c:ptCount val="1"/>
                <c:pt idx="0">
                  <c:v>自營商Buy大台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表格!$J$80:$U$80</c:f>
              <c:numCache>
                <c:formatCode>0_ </c:formatCode>
                <c:ptCount val="12"/>
                <c:pt idx="6">
                  <c:v>168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6-C24D-44AE-846D-3D5E96FE1F1B}"/>
            </c:ext>
          </c:extLst>
        </c:ser>
        <c:ser>
          <c:idx val="7"/>
          <c:order val="7"/>
          <c:tx>
            <c:strRef>
              <c:f>表格!$G$81</c:f>
              <c:strCache>
                <c:ptCount val="1"/>
                <c:pt idx="0">
                  <c:v>自營商Sell小台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表格!$J$81:$U$81</c:f>
              <c:numCache>
                <c:formatCode>0_ </c:formatCode>
                <c:ptCount val="12"/>
                <c:pt idx="7">
                  <c:v>-2191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7-C24D-44AE-846D-3D5E96FE1F1B}"/>
            </c:ext>
          </c:extLst>
        </c:ser>
        <c:ser>
          <c:idx val="8"/>
          <c:order val="8"/>
          <c:tx>
            <c:strRef>
              <c:f>表格!$G$82</c:f>
              <c:strCache>
                <c:ptCount val="1"/>
                <c:pt idx="0">
                  <c:v>外資Sell大台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表格!$J$82:$U$82</c:f>
              <c:numCache>
                <c:formatCode>0_ </c:formatCode>
                <c:ptCount val="12"/>
                <c:pt idx="8">
                  <c:v>-1343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8-C24D-44AE-846D-3D5E96FE1F1B}"/>
            </c:ext>
          </c:extLst>
        </c:ser>
        <c:ser>
          <c:idx val="9"/>
          <c:order val="9"/>
          <c:tx>
            <c:strRef>
              <c:f>表格!$G$83</c:f>
              <c:strCache>
                <c:ptCount val="1"/>
                <c:pt idx="0">
                  <c:v>外資Buy小台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表格!$J$83:$U$83</c:f>
              <c:numCache>
                <c:formatCode>0_ </c:formatCode>
                <c:ptCount val="12"/>
                <c:pt idx="9">
                  <c:v>104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9-C24D-44AE-846D-3D5E96FE1F1B}"/>
            </c:ext>
          </c:extLst>
        </c:ser>
        <c:ser>
          <c:idx val="10"/>
          <c:order val="10"/>
          <c:tx>
            <c:strRef>
              <c:f>表格!$G$84</c:f>
              <c:strCache>
                <c:ptCount val="1"/>
              </c:strCache>
            </c:strRef>
          </c:tx>
          <c:spPr>
            <a:solidFill>
              <a:srgbClr val="FF0000"/>
            </a:solidFill>
            <a:ln>
              <a:solidFill>
                <a:schemeClr val="accent1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表格!$J$84:$U$84</c:f>
              <c:numCache>
                <c:formatCode>0_ </c:formatCode>
                <c:ptCount val="12"/>
                <c:pt idx="1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  <a:ln>
                    <a:solidFill>
                      <a:schemeClr val="accent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C24D-44AE-846D-3D5E96FE1F1B}"/>
            </c:ext>
          </c:extLst>
        </c:ser>
        <c:ser>
          <c:idx val="11"/>
          <c:order val="11"/>
          <c:tx>
            <c:strRef>
              <c:f>表格!$G$85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表格!$H$74:$H$85</c:f>
              <c:strCache>
                <c:ptCount val="10"/>
                <c:pt idx="0">
                  <c:v>16550 </c:v>
                </c:pt>
                <c:pt idx="1">
                  <c:v>16650 </c:v>
                </c:pt>
                <c:pt idx="2">
                  <c:v>16700 </c:v>
                </c:pt>
                <c:pt idx="3">
                  <c:v>16700 </c:v>
                </c:pt>
                <c:pt idx="4">
                  <c:v>16750 </c:v>
                </c:pt>
                <c:pt idx="5">
                  <c:v>16768 </c:v>
                </c:pt>
                <c:pt idx="6">
                  <c:v>16769 </c:v>
                </c:pt>
                <c:pt idx="7">
                  <c:v>16778 </c:v>
                </c:pt>
                <c:pt idx="8">
                  <c:v>16784 </c:v>
                </c:pt>
                <c:pt idx="9">
                  <c:v>16793 </c:v>
                </c:pt>
              </c:strCache>
            </c:strRef>
          </c:cat>
          <c:val>
            <c:numRef>
              <c:f>表格!$J$85:$U$85</c:f>
              <c:numCache>
                <c:formatCode>0_ </c:formatCode>
                <c:ptCount val="12"/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B-C24D-44AE-846D-3D5E96FE1F1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304064"/>
        <c:axId val="41305600"/>
      </c:barChart>
      <c:catAx>
        <c:axId val="41304064"/>
        <c:scaling>
          <c:orientation val="minMax"/>
        </c:scaling>
        <c:delete val="0"/>
        <c:axPos val="l"/>
        <c:numFmt formatCode="0_ ;[Red]\-0\ " sourceLinked="0"/>
        <c:majorTickMark val="cross"/>
        <c:minorTickMark val="none"/>
        <c:tickLblPos val="nextTo"/>
        <c:spPr>
          <a:noFill/>
        </c:spPr>
        <c:txPr>
          <a:bodyPr rot="0" vert="horz"/>
          <a:lstStyle/>
          <a:p>
            <a:pPr>
              <a:defRPr sz="100"/>
            </a:pPr>
            <a:endParaRPr lang="zh-TW"/>
          </a:p>
        </c:txPr>
        <c:crossAx val="41305600"/>
        <c:crossesAt val="0"/>
        <c:auto val="1"/>
        <c:lblAlgn val="ctr"/>
        <c:lblOffset val="0"/>
        <c:tickMarkSkip val="1"/>
        <c:noMultiLvlLbl val="0"/>
      </c:catAx>
      <c:valAx>
        <c:axId val="41305600"/>
        <c:scaling>
          <c:orientation val="minMax"/>
        </c:scaling>
        <c:delete val="0"/>
        <c:axPos val="b"/>
        <c:numFmt formatCode="0_ " sourceLinked="0"/>
        <c:majorTickMark val="none"/>
        <c:minorTickMark val="none"/>
        <c:tickLblPos val="nextTo"/>
        <c:crossAx val="41304064"/>
        <c:crossesAt val="1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7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最新日期</a:t>
            </a:r>
            <a:r>
              <a:rPr lang="zh-TW"/>
              <a:t>加權指數未平倉淨口數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表格!$G$88</c:f>
              <c:strCache>
                <c:ptCount val="1"/>
                <c:pt idx="0">
                  <c:v>自營商Buy大台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表格!$J$88:$U$88</c:f>
              <c:numCache>
                <c:formatCode>0_ </c:formatCode>
                <c:ptCount val="12"/>
                <c:pt idx="0">
                  <c:v>13283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7629-4C63-BB6C-8892BF490487}"/>
            </c:ext>
          </c:extLst>
        </c:ser>
        <c:ser>
          <c:idx val="1"/>
          <c:order val="1"/>
          <c:tx>
            <c:strRef>
              <c:f>表格!$G$89</c:f>
              <c:strCache>
                <c:ptCount val="1"/>
                <c:pt idx="0">
                  <c:v>自營商Buy小台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表格!$J$89:$U$89</c:f>
              <c:numCache>
                <c:formatCode>0_ </c:formatCode>
                <c:ptCount val="12"/>
                <c:pt idx="1">
                  <c:v>2558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7629-4C63-BB6C-8892BF490487}"/>
            </c:ext>
          </c:extLst>
        </c:ser>
        <c:ser>
          <c:idx val="2"/>
          <c:order val="2"/>
          <c:tx>
            <c:strRef>
              <c:f>表格!$G$90</c:f>
              <c:strCache>
                <c:ptCount val="1"/>
                <c:pt idx="0">
                  <c:v>外資Sell大台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表格!$J$90:$U$90</c:f>
              <c:numCache>
                <c:formatCode>0_ </c:formatCode>
                <c:ptCount val="12"/>
                <c:pt idx="2">
                  <c:v>-19002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7629-4C63-BB6C-8892BF490487}"/>
            </c:ext>
          </c:extLst>
        </c:ser>
        <c:ser>
          <c:idx val="3"/>
          <c:order val="3"/>
          <c:tx>
            <c:strRef>
              <c:f>表格!$G$91</c:f>
              <c:strCache>
                <c:ptCount val="1"/>
                <c:pt idx="0">
                  <c:v>外資Buy-Call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表格!$J$91:$U$91</c:f>
              <c:numCache>
                <c:formatCode>0_ </c:formatCode>
                <c:ptCount val="12"/>
                <c:pt idx="3">
                  <c:v>20911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3-7629-4C63-BB6C-8892BF490487}"/>
            </c:ext>
          </c:extLst>
        </c:ser>
        <c:ser>
          <c:idx val="4"/>
          <c:order val="4"/>
          <c:tx>
            <c:strRef>
              <c:f>表格!$G$92</c:f>
              <c:strCache>
                <c:ptCount val="1"/>
                <c:pt idx="0">
                  <c:v>自營商Sell-Put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表格!$J$92:$U$92</c:f>
              <c:numCache>
                <c:formatCode>0_ </c:formatCode>
                <c:ptCount val="12"/>
                <c:pt idx="4">
                  <c:v>6154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4-7629-4C63-BB6C-8892BF490487}"/>
            </c:ext>
          </c:extLst>
        </c:ser>
        <c:ser>
          <c:idx val="5"/>
          <c:order val="5"/>
          <c:tx>
            <c:strRef>
              <c:f>表格!$G$93</c:f>
              <c:strCache>
                <c:ptCount val="1"/>
                <c:pt idx="0">
                  <c:v>投信Sell大台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表格!$J$93:$U$93</c:f>
              <c:numCache>
                <c:formatCode>0_ </c:formatCode>
                <c:ptCount val="12"/>
                <c:pt idx="5">
                  <c:v>-3665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5-7629-4C63-BB6C-8892BF490487}"/>
            </c:ext>
          </c:extLst>
        </c:ser>
        <c:ser>
          <c:idx val="6"/>
          <c:order val="6"/>
          <c:tx>
            <c:strRef>
              <c:f>表格!$G$94</c:f>
              <c:strCache>
                <c:ptCount val="1"/>
                <c:pt idx="0">
                  <c:v>投信Buy小台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表格!$J$94:$U$94</c:f>
              <c:numCache>
                <c:formatCode>0_ </c:formatCode>
                <c:ptCount val="12"/>
                <c:pt idx="6">
                  <c:v>254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6-7629-4C63-BB6C-8892BF490487}"/>
            </c:ext>
          </c:extLst>
        </c:ser>
        <c:ser>
          <c:idx val="7"/>
          <c:order val="7"/>
          <c:tx>
            <c:strRef>
              <c:f>表格!$G$95</c:f>
              <c:strCache>
                <c:ptCount val="1"/>
                <c:pt idx="0">
                  <c:v>外資Sell小台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表格!$J$95:$U$95</c:f>
              <c:numCache>
                <c:formatCode>0_ </c:formatCode>
                <c:ptCount val="12"/>
                <c:pt idx="7">
                  <c:v>-8190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7-7629-4C63-BB6C-8892BF490487}"/>
            </c:ext>
          </c:extLst>
        </c:ser>
        <c:ser>
          <c:idx val="8"/>
          <c:order val="8"/>
          <c:tx>
            <c:strRef>
              <c:f>表格!$G$96</c:f>
              <c:strCache>
                <c:ptCount val="1"/>
                <c:pt idx="0">
                  <c:v>自營商Sell-Call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表格!$J$96:$U$96</c:f>
              <c:numCache>
                <c:formatCode>0_ </c:formatCode>
                <c:ptCount val="12"/>
                <c:pt idx="8">
                  <c:v>-4986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8-7629-4C63-BB6C-8892BF490487}"/>
            </c:ext>
          </c:extLst>
        </c:ser>
        <c:ser>
          <c:idx val="9"/>
          <c:order val="9"/>
          <c:tx>
            <c:strRef>
              <c:f>表格!$G$97</c:f>
              <c:strCache>
                <c:ptCount val="1"/>
                <c:pt idx="0">
                  <c:v>外資Buy-Put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表格!$J$97:$U$97</c:f>
              <c:numCache>
                <c:formatCode>0_ </c:formatCode>
                <c:ptCount val="12"/>
                <c:pt idx="9">
                  <c:v>-41788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9-7629-4C63-BB6C-8892BF490487}"/>
            </c:ext>
          </c:extLst>
        </c:ser>
        <c:ser>
          <c:idx val="10"/>
          <c:order val="10"/>
          <c:tx>
            <c:strRef>
              <c:f>表格!$G$98</c:f>
              <c:strCache>
                <c:ptCount val="1"/>
                <c:pt idx="0">
                  <c:v>投信Sell-Put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1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表格!$J$98:$U$98</c:f>
              <c:numCache>
                <c:formatCode>0_ </c:formatCode>
                <c:ptCount val="12"/>
                <c:pt idx="10">
                  <c:v>60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  <a:ln>
                    <a:solidFill>
                      <a:schemeClr val="accent1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7629-4C63-BB6C-8892BF490487}"/>
            </c:ext>
          </c:extLst>
        </c:ser>
        <c:ser>
          <c:idx val="11"/>
          <c:order val="11"/>
          <c:tx>
            <c:strRef>
              <c:f>表格!$G$99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表格!$H$88:$H$99</c:f>
              <c:strCache>
                <c:ptCount val="11"/>
                <c:pt idx="0">
                  <c:v>16682 </c:v>
                </c:pt>
                <c:pt idx="1">
                  <c:v>16689 </c:v>
                </c:pt>
                <c:pt idx="2">
                  <c:v>16699 </c:v>
                </c:pt>
                <c:pt idx="3">
                  <c:v>16700 </c:v>
                </c:pt>
                <c:pt idx="4">
                  <c:v>16700 </c:v>
                </c:pt>
                <c:pt idx="5">
                  <c:v>16701 </c:v>
                </c:pt>
                <c:pt idx="6">
                  <c:v>16714 </c:v>
                </c:pt>
                <c:pt idx="7">
                  <c:v>16717 </c:v>
                </c:pt>
                <c:pt idx="8">
                  <c:v>16750 </c:v>
                </c:pt>
                <c:pt idx="9">
                  <c:v>16750 </c:v>
                </c:pt>
                <c:pt idx="10">
                  <c:v>17250 </c:v>
                </c:pt>
              </c:strCache>
            </c:strRef>
          </c:cat>
          <c:val>
            <c:numRef>
              <c:f>表格!$J$99:$U$99</c:f>
              <c:numCache>
                <c:formatCode>0_ </c:formatCode>
                <c:ptCount val="12"/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B-7629-4C63-BB6C-8892BF49048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364096"/>
        <c:axId val="41374080"/>
      </c:barChart>
      <c:catAx>
        <c:axId val="41364096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374080"/>
        <c:crossesAt val="0"/>
        <c:auto val="1"/>
        <c:lblAlgn val="ctr"/>
        <c:lblOffset val="100"/>
        <c:noMultiLvlLbl val="0"/>
      </c:catAx>
      <c:valAx>
        <c:axId val="41374080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3640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7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最新日期金融期未平倉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表格!$G$105</c:f>
              <c:strCache>
                <c:ptCount val="1"/>
                <c:pt idx="0">
                  <c:v>自營商Buy金融期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表格!$H$105:$H$107</c:f>
              <c:numCache>
                <c:formatCode>0_ </c:formatCode>
                <c:ptCount val="3"/>
                <c:pt idx="0">
                  <c:v>1599.5214592274679</c:v>
                </c:pt>
                <c:pt idx="1">
                  <c:v>1599.5914121292608</c:v>
                </c:pt>
                <c:pt idx="2">
                  <c:v>1600.2083333333333</c:v>
                </c:pt>
              </c:numCache>
            </c:numRef>
          </c:cat>
          <c:val>
            <c:numRef>
              <c:f>表格!$J$105:$L$105</c:f>
              <c:numCache>
                <c:formatCode>0_ </c:formatCode>
                <c:ptCount val="3"/>
                <c:pt idx="0">
                  <c:v>192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597F-4EC9-AD98-6C6A657F9620}"/>
            </c:ext>
          </c:extLst>
        </c:ser>
        <c:ser>
          <c:idx val="1"/>
          <c:order val="1"/>
          <c:tx>
            <c:strRef>
              <c:f>表格!$G$106</c:f>
              <c:strCache>
                <c:ptCount val="1"/>
                <c:pt idx="0">
                  <c:v>外資Sell金融期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表格!$H$105:$H$107</c:f>
              <c:numCache>
                <c:formatCode>0_ </c:formatCode>
                <c:ptCount val="3"/>
                <c:pt idx="0">
                  <c:v>1599.5214592274679</c:v>
                </c:pt>
                <c:pt idx="1">
                  <c:v>1599.5914121292608</c:v>
                </c:pt>
                <c:pt idx="2">
                  <c:v>1600.2083333333333</c:v>
                </c:pt>
              </c:numCache>
            </c:numRef>
          </c:cat>
          <c:val>
            <c:numRef>
              <c:f>表格!$J$106:$L$106</c:f>
              <c:numCache>
                <c:formatCode>0_ </c:formatCode>
                <c:ptCount val="3"/>
                <c:pt idx="1">
                  <c:v>-1642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597F-4EC9-AD98-6C6A657F9620}"/>
            </c:ext>
          </c:extLst>
        </c:ser>
        <c:ser>
          <c:idx val="2"/>
          <c:order val="2"/>
          <c:tx>
            <c:strRef>
              <c:f>表格!$G$107</c:f>
              <c:strCache>
                <c:ptCount val="1"/>
                <c:pt idx="0">
                  <c:v>投信Buy金融期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表格!$H$105:$H$107</c:f>
              <c:numCache>
                <c:formatCode>0_ </c:formatCode>
                <c:ptCount val="3"/>
                <c:pt idx="0">
                  <c:v>1599.5214592274679</c:v>
                </c:pt>
                <c:pt idx="1">
                  <c:v>1599.5914121292608</c:v>
                </c:pt>
                <c:pt idx="2">
                  <c:v>1600.2083333333333</c:v>
                </c:pt>
              </c:numCache>
            </c:numRef>
          </c:cat>
          <c:val>
            <c:numRef>
              <c:f>表格!$J$107:$L$107</c:f>
              <c:numCache>
                <c:formatCode>0_ </c:formatCode>
                <c:ptCount val="3"/>
                <c:pt idx="2">
                  <c:v>24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597F-4EC9-AD98-6C6A657F962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414656"/>
        <c:axId val="41416192"/>
      </c:barChart>
      <c:catAx>
        <c:axId val="41414656"/>
        <c:scaling>
          <c:orientation val="minMax"/>
        </c:scaling>
        <c:delete val="0"/>
        <c:axPos val="l"/>
        <c:numFmt formatCode="0_ 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416192"/>
        <c:crossesAt val="0"/>
        <c:auto val="1"/>
        <c:lblAlgn val="ctr"/>
        <c:lblOffset val="100"/>
        <c:noMultiLvlLbl val="0"/>
      </c:catAx>
      <c:valAx>
        <c:axId val="41416192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4146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最新日期台灣</a:t>
            </a:r>
            <a:r>
              <a:rPr lang="en-US" altLang="zh-TW"/>
              <a:t>50</a:t>
            </a:r>
            <a:r>
              <a:rPr lang="zh-TW" altLang="en-US"/>
              <a:t>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表格!$G$108</c:f>
              <c:strCache>
                <c:ptCount val="1"/>
                <c:pt idx="0">
                  <c:v>自營商Buy台灣50期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表格!$H$108:$H$110</c:f>
              <c:strCache>
                <c:ptCount val="2"/>
                <c:pt idx="0">
                  <c:v>7890 </c:v>
                </c:pt>
                <c:pt idx="1">
                  <c:v>7891 </c:v>
                </c:pt>
              </c:strCache>
            </c:strRef>
          </c:cat>
          <c:val>
            <c:numRef>
              <c:f>表格!$J$108:$L$108</c:f>
              <c:numCache>
                <c:formatCode>0_ </c:formatCode>
                <c:ptCount val="3"/>
                <c:pt idx="0">
                  <c:v>78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90C4-4DF1-AAD9-7F2599A8E118}"/>
            </c:ext>
          </c:extLst>
        </c:ser>
        <c:ser>
          <c:idx val="1"/>
          <c:order val="1"/>
          <c:tx>
            <c:strRef>
              <c:f>表格!$G$109</c:f>
              <c:strCache>
                <c:ptCount val="1"/>
                <c:pt idx="0">
                  <c:v>外資Buy台灣50期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表格!$H$108:$H$110</c:f>
              <c:strCache>
                <c:ptCount val="2"/>
                <c:pt idx="0">
                  <c:v>7890 </c:v>
                </c:pt>
                <c:pt idx="1">
                  <c:v>7891 </c:v>
                </c:pt>
              </c:strCache>
            </c:strRef>
          </c:cat>
          <c:val>
            <c:numRef>
              <c:f>表格!$J$109:$L$109</c:f>
              <c:numCache>
                <c:formatCode>0_ </c:formatCode>
                <c:ptCount val="3"/>
                <c:pt idx="1">
                  <c:v>280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90C4-4DF1-AAD9-7F2599A8E118}"/>
            </c:ext>
          </c:extLst>
        </c:ser>
        <c:ser>
          <c:idx val="2"/>
          <c:order val="2"/>
          <c:tx>
            <c:strRef>
              <c:f>表格!$G$110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表格!$H$108:$H$110</c:f>
              <c:strCache>
                <c:ptCount val="2"/>
                <c:pt idx="0">
                  <c:v>7890 </c:v>
                </c:pt>
                <c:pt idx="1">
                  <c:v>7891 </c:v>
                </c:pt>
              </c:strCache>
            </c:strRef>
          </c:cat>
          <c:val>
            <c:numRef>
              <c:f>表格!$J$110:$L$110</c:f>
              <c:numCache>
                <c:formatCode>0_ </c:formatCode>
                <c:ptCount val="3"/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90C4-4DF1-AAD9-7F2599A8E1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517056"/>
        <c:axId val="41518592"/>
      </c:barChart>
      <c:catAx>
        <c:axId val="41517056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518592"/>
        <c:crossesAt val="0"/>
        <c:auto val="1"/>
        <c:lblAlgn val="ctr"/>
        <c:lblOffset val="100"/>
        <c:noMultiLvlLbl val="0"/>
      </c:catAx>
      <c:valAx>
        <c:axId val="41518592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5170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最新日期櫃買指數期未平倉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表格!$G$117</c:f>
              <c:strCache>
                <c:ptCount val="1"/>
                <c:pt idx="0">
                  <c:v>自營商Sell櫃買指數期貨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表格!$H$117:$H$119</c:f>
              <c:numCache>
                <c:formatCode>0_ </c:formatCode>
                <c:ptCount val="3"/>
                <c:pt idx="0">
                  <c:v>119.125</c:v>
                </c:pt>
                <c:pt idx="1">
                  <c:v>249.92085679806917</c:v>
                </c:pt>
                <c:pt idx="2">
                  <c:v>302.57476298433636</c:v>
                </c:pt>
              </c:numCache>
            </c:numRef>
          </c:cat>
          <c:val>
            <c:numRef>
              <c:f>表格!$J$117:$L$117</c:f>
              <c:numCache>
                <c:formatCode>0_ </c:formatCode>
                <c:ptCount val="3"/>
                <c:pt idx="0">
                  <c:v>-756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5EA4-4E96-9552-ECF12CC06D7C}"/>
            </c:ext>
          </c:extLst>
        </c:ser>
        <c:ser>
          <c:idx val="1"/>
          <c:order val="1"/>
          <c:tx>
            <c:strRef>
              <c:f>表格!$G$118</c:f>
              <c:strCache>
                <c:ptCount val="1"/>
                <c:pt idx="0">
                  <c:v>投信Buy櫃買指數期貨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表格!$H$117:$H$119</c:f>
              <c:numCache>
                <c:formatCode>0_ </c:formatCode>
                <c:ptCount val="3"/>
                <c:pt idx="0">
                  <c:v>119.125</c:v>
                </c:pt>
                <c:pt idx="1">
                  <c:v>249.92085679806917</c:v>
                </c:pt>
                <c:pt idx="2">
                  <c:v>302.57476298433636</c:v>
                </c:pt>
              </c:numCache>
            </c:numRef>
          </c:cat>
          <c:val>
            <c:numRef>
              <c:f>表格!$J$118:$L$118</c:f>
              <c:numCache>
                <c:formatCode>0_ </c:formatCode>
                <c:ptCount val="3"/>
                <c:pt idx="1">
                  <c:v>1180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5EA4-4E96-9552-ECF12CC06D7C}"/>
            </c:ext>
          </c:extLst>
        </c:ser>
        <c:ser>
          <c:idx val="2"/>
          <c:order val="2"/>
          <c:tx>
            <c:strRef>
              <c:f>表格!$G$119</c:f>
              <c:strCache>
                <c:ptCount val="1"/>
                <c:pt idx="0">
                  <c:v>外資Sell櫃買指數期貨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表格!$H$117:$H$119</c:f>
              <c:numCache>
                <c:formatCode>0_ </c:formatCode>
                <c:ptCount val="3"/>
                <c:pt idx="0">
                  <c:v>119.125</c:v>
                </c:pt>
                <c:pt idx="1">
                  <c:v>249.92085679806917</c:v>
                </c:pt>
                <c:pt idx="2">
                  <c:v>302.57476298433636</c:v>
                </c:pt>
              </c:numCache>
            </c:numRef>
          </c:cat>
          <c:val>
            <c:numRef>
              <c:f>表格!$J$119:$L$119</c:f>
              <c:numCache>
                <c:formatCode>0_ </c:formatCode>
                <c:ptCount val="3"/>
                <c:pt idx="2">
                  <c:v>-1596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5EA4-4E96-9552-ECF12CC06D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557376"/>
        <c:axId val="41563264"/>
      </c:barChart>
      <c:catAx>
        <c:axId val="41557376"/>
        <c:scaling>
          <c:orientation val="minMax"/>
        </c:scaling>
        <c:delete val="0"/>
        <c:axPos val="l"/>
        <c:numFmt formatCode="0_ 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563264"/>
        <c:crossesAt val="0"/>
        <c:auto val="1"/>
        <c:lblAlgn val="ctr"/>
        <c:lblOffset val="100"/>
        <c:noMultiLvlLbl val="0"/>
      </c:catAx>
      <c:valAx>
        <c:axId val="41563264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5573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TW" altLang="en-US"/>
              <a:t>最新日期非金電期未平倉</a:t>
            </a:r>
            <a:r>
              <a:rPr lang="zh-TW"/>
              <a:t>淨口數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87264363596779"/>
          <c:y val="0.15699154090749748"/>
          <c:w val="0.60416022453501128"/>
          <c:h val="0.765325772299414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表格!$G$120</c:f>
              <c:strCache>
                <c:ptCount val="1"/>
                <c:pt idx="0">
                  <c:v>自營商Sell非金電期貨</c:v>
                </c:pt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[1]表格!$H$120:$H$122</c:f>
              <c:strCache>
                <c:ptCount val="3"/>
                <c:pt idx="0">
                  <c:v>8013.52381</c:v>
                </c:pt>
              </c:strCache>
            </c:strRef>
          </c:cat>
          <c:val>
            <c:numRef>
              <c:f>表格!$J$120:$L$120</c:f>
              <c:numCache>
                <c:formatCode>0_ </c:formatCode>
                <c:ptCount val="3"/>
                <c:pt idx="0">
                  <c:v>-70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0-83FA-47B3-BEB5-D1F16C6717FD}"/>
            </c:ext>
          </c:extLst>
        </c:ser>
        <c:ser>
          <c:idx val="1"/>
          <c:order val="1"/>
          <c:tx>
            <c:strRef>
              <c:f>表格!$G$121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[1]表格!$H$120:$H$122</c:f>
              <c:strCache>
                <c:ptCount val="3"/>
                <c:pt idx="0">
                  <c:v>8013.52381</c:v>
                </c:pt>
              </c:strCache>
            </c:strRef>
          </c:cat>
          <c:val>
            <c:numRef>
              <c:f>表格!$J$121:$L$121</c:f>
              <c:numCache>
                <c:formatCode>0_ </c:formatCode>
                <c:ptCount val="3"/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83FA-47B3-BEB5-D1F16C6717FD}"/>
            </c:ext>
          </c:extLst>
        </c:ser>
        <c:ser>
          <c:idx val="2"/>
          <c:order val="2"/>
          <c:tx>
            <c:strRef>
              <c:f>表格!$G$122</c:f>
              <c:strCache>
                <c:ptCount val="1"/>
              </c:strCache>
            </c:strRef>
          </c:tx>
          <c:spPr>
            <a:solidFill>
              <a:srgbClr val="FF0000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[1]表格!$H$120:$H$122</c:f>
              <c:strCache>
                <c:ptCount val="3"/>
                <c:pt idx="0">
                  <c:v>8013.52381</c:v>
                </c:pt>
              </c:strCache>
            </c:strRef>
          </c:cat>
          <c:val>
            <c:numRef>
              <c:f>表格!$J$122:$L$122</c:f>
              <c:numCache>
                <c:formatCode>0_ </c:formatCode>
                <c:ptCount val="3"/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00B050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83FA-47B3-BEB5-D1F16C6717F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80"/>
        <c:axId val="41684352"/>
        <c:axId val="41686144"/>
      </c:barChart>
      <c:catAx>
        <c:axId val="4168435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noFill/>
        </c:spPr>
        <c:txPr>
          <a:bodyPr/>
          <a:lstStyle/>
          <a:p>
            <a:pPr>
              <a:defRPr sz="100"/>
            </a:pPr>
            <a:endParaRPr lang="zh-TW"/>
          </a:p>
        </c:txPr>
        <c:crossAx val="41686144"/>
        <c:crossesAt val="0"/>
        <c:auto val="1"/>
        <c:lblAlgn val="ctr"/>
        <c:lblOffset val="100"/>
        <c:noMultiLvlLbl val="0"/>
      </c:catAx>
      <c:valAx>
        <c:axId val="41686144"/>
        <c:scaling>
          <c:orientation val="minMax"/>
        </c:scaling>
        <c:delete val="0"/>
        <c:axPos val="b"/>
        <c:numFmt formatCode="#,##0_ " sourceLinked="0"/>
        <c:majorTickMark val="in"/>
        <c:minorTickMark val="none"/>
        <c:tickLblPos val="nextTo"/>
        <c:crossAx val="416843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solidFill>
      <a:schemeClr val="tx1"/>
    </a:solidFill>
  </c:spPr>
  <c:txPr>
    <a:bodyPr/>
    <a:lstStyle/>
    <a:p>
      <a:pPr>
        <a:defRPr sz="800">
          <a:solidFill>
            <a:schemeClr val="bg1"/>
          </a:solidFill>
          <a:latin typeface="微軟正黑體" pitchFamily="34" charset="-120"/>
          <a:ea typeface="微軟正黑體" pitchFamily="34" charset="-120"/>
        </a:defRPr>
      </a:pPr>
      <a:endParaRPr lang="zh-TW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更新資料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31751</xdr:colOff>
      <xdr:row>0</xdr:row>
      <xdr:rowOff>0</xdr:rowOff>
    </xdr:from>
    <xdr:to>
      <xdr:col>22</xdr:col>
      <xdr:colOff>2116</xdr:colOff>
      <xdr:row>113</xdr:row>
      <xdr:rowOff>172533</xdr:rowOff>
    </xdr:to>
    <xdr:grpSp>
      <xdr:nvGrpSpPr>
        <xdr:cNvPr id="3" name="群組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3031290" y="0"/>
          <a:ext cx="9996681" cy="24879046"/>
          <a:chOff x="1174750" y="26458"/>
          <a:chExt cx="10949516" cy="24090866"/>
        </a:xfrm>
      </xdr:grpSpPr>
      <xdr:graphicFrame macro="">
        <xdr:nvGraphicFramePr>
          <xdr:cNvPr id="4" name="圖表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aphicFramePr>
            <a:graphicFrameLocks/>
          </xdr:cNvGraphicFramePr>
        </xdr:nvGraphicFramePr>
        <xdr:xfrm>
          <a:off x="1174750" y="6938442"/>
          <a:ext cx="5444066" cy="34057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圖表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aphicFramePr>
            <a:graphicFrameLocks/>
          </xdr:cNvGraphicFramePr>
        </xdr:nvGraphicFramePr>
        <xdr:xfrm>
          <a:off x="6678083" y="6932091"/>
          <a:ext cx="5444066" cy="34057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圖表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aphicFramePr>
            <a:graphicFrameLocks/>
          </xdr:cNvGraphicFramePr>
        </xdr:nvGraphicFramePr>
        <xdr:xfrm>
          <a:off x="1174750" y="35983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7" name="圖表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aphicFramePr>
            <a:graphicFrameLocks/>
          </xdr:cNvGraphicFramePr>
        </xdr:nvGraphicFramePr>
        <xdr:xfrm>
          <a:off x="1174750" y="3481921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8" name="圖表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aphicFramePr>
            <a:graphicFrameLocks/>
          </xdr:cNvGraphicFramePr>
        </xdr:nvGraphicFramePr>
        <xdr:xfrm>
          <a:off x="1174750" y="10384379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9" name="圖表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aphicFramePr>
            <a:graphicFrameLocks/>
          </xdr:cNvGraphicFramePr>
        </xdr:nvGraphicFramePr>
        <xdr:xfrm>
          <a:off x="1174750" y="13830317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10" name="圖表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aphicFramePr>
            <a:graphicFrameLocks/>
          </xdr:cNvGraphicFramePr>
        </xdr:nvGraphicFramePr>
        <xdr:xfrm>
          <a:off x="1174750" y="17276255"/>
          <a:ext cx="5444066" cy="34057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圖表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aphicFramePr>
            <a:graphicFrameLocks/>
          </xdr:cNvGraphicFramePr>
        </xdr:nvGraphicFramePr>
        <xdr:xfrm>
          <a:off x="1174750" y="20711607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2" name="圖表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aphicFramePr>
            <a:graphicFrameLocks/>
          </xdr:cNvGraphicFramePr>
        </xdr:nvGraphicFramePr>
        <xdr:xfrm>
          <a:off x="6678083" y="26458"/>
          <a:ext cx="5446183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圖表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aphicFramePr>
            <a:graphicFrameLocks/>
          </xdr:cNvGraphicFramePr>
        </xdr:nvGraphicFramePr>
        <xdr:xfrm>
          <a:off x="6678083" y="3473983"/>
          <a:ext cx="5446183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4" name="圖表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aphicFramePr>
            <a:graphicFrameLocks/>
          </xdr:cNvGraphicFramePr>
        </xdr:nvGraphicFramePr>
        <xdr:xfrm>
          <a:off x="6678083" y="10379615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5" name="圖表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aphicFramePr>
            <a:graphicFrameLocks/>
          </xdr:cNvGraphicFramePr>
        </xdr:nvGraphicFramePr>
        <xdr:xfrm>
          <a:off x="6678083" y="13827140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6" name="圖表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aphicFramePr>
            <a:graphicFrameLocks/>
          </xdr:cNvGraphicFramePr>
        </xdr:nvGraphicFramePr>
        <xdr:xfrm>
          <a:off x="6678083" y="17274665"/>
          <a:ext cx="5444066" cy="34057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7" name="圖表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>
            <a:graphicFrameLocks/>
          </xdr:cNvGraphicFramePr>
        </xdr:nvGraphicFramePr>
        <xdr:xfrm>
          <a:off x="6678083" y="20711607"/>
          <a:ext cx="5444066" cy="340571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&#27169;&#26495;/&#26399;&#36008;&#36984;&#25799;&#27402;&#26410;&#24179;&#20489;(&#20491;&#20154;&#20351;&#29992;)/&#26399;&#36008;&#36984;&#25799;&#27402;&#26410;&#24179;&#20489;(&#20491;&#20154;&#20351;&#29992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圖區"/>
      <sheetName val="表格"/>
      <sheetName val="調閱歷史資料"/>
      <sheetName val="最新"/>
      <sheetName val="彙整"/>
      <sheetName val="記錄"/>
      <sheetName val="報價"/>
      <sheetName val="報價彙整"/>
      <sheetName val="選擇權"/>
      <sheetName val="選擇權報價"/>
      <sheetName val="期貨"/>
      <sheetName val="時間"/>
      <sheetName val="日期索引"/>
    </sheetNames>
    <sheetDataSet>
      <sheetData sheetId="0" refreshError="1"/>
      <sheetData sheetId="1">
        <row r="2">
          <cell r="G2" t="str">
            <v>自營商Sell-Put</v>
          </cell>
          <cell r="H2">
            <v>16800</v>
          </cell>
          <cell r="J2">
            <v>1086</v>
          </cell>
        </row>
        <row r="3">
          <cell r="G3" t="str">
            <v>外資Sell-Put</v>
          </cell>
          <cell r="H3">
            <v>16950</v>
          </cell>
          <cell r="K3">
            <v>87</v>
          </cell>
        </row>
        <row r="4">
          <cell r="G4" t="str">
            <v>投信Buy小台</v>
          </cell>
          <cell r="H4">
            <v>16956</v>
          </cell>
          <cell r="L4">
            <v>3</v>
          </cell>
        </row>
        <row r="5">
          <cell r="G5" t="str">
            <v>投信Sell大台</v>
          </cell>
          <cell r="H5">
            <v>16997.452135493375</v>
          </cell>
          <cell r="M5">
            <v>-361</v>
          </cell>
        </row>
        <row r="6">
          <cell r="G6" t="str">
            <v>外資Sell-Call</v>
          </cell>
          <cell r="H6">
            <v>17000</v>
          </cell>
          <cell r="N6">
            <v>-28</v>
          </cell>
        </row>
        <row r="7">
          <cell r="G7" t="str">
            <v>自營商Sell小台</v>
          </cell>
          <cell r="H7">
            <v>17009.577754891863</v>
          </cell>
          <cell r="O7">
            <v>-1012</v>
          </cell>
        </row>
        <row r="8">
          <cell r="G8" t="str">
            <v>自營商Buy大台</v>
          </cell>
          <cell r="H8">
            <v>17034.546293853862</v>
          </cell>
          <cell r="P8">
            <v>182</v>
          </cell>
        </row>
        <row r="9">
          <cell r="G9" t="str">
            <v>外資Sell大台</v>
          </cell>
          <cell r="H9">
            <v>17045.407130071191</v>
          </cell>
          <cell r="Q9">
            <v>-1237</v>
          </cell>
        </row>
        <row r="10">
          <cell r="G10" t="str">
            <v>外資Sell小台</v>
          </cell>
          <cell r="H10">
            <v>17050.154278902639</v>
          </cell>
          <cell r="R10">
            <v>-3685</v>
          </cell>
        </row>
        <row r="11">
          <cell r="G11" t="str">
            <v>自營商Sell-Call</v>
          </cell>
          <cell r="H11">
            <v>17100</v>
          </cell>
          <cell r="S11">
            <v>-7427</v>
          </cell>
        </row>
        <row r="12">
          <cell r="G12" t="str">
            <v/>
          </cell>
          <cell r="H12" t="str">
            <v/>
          </cell>
          <cell r="T12" t="str">
            <v/>
          </cell>
        </row>
        <row r="13">
          <cell r="G13" t="str">
            <v/>
          </cell>
          <cell r="H13" t="str">
            <v/>
          </cell>
          <cell r="U13" t="str">
            <v/>
          </cell>
        </row>
        <row r="16">
          <cell r="G16" t="str">
            <v>自營商Buy大台</v>
          </cell>
          <cell r="H16">
            <v>16841.324826329015</v>
          </cell>
          <cell r="J16">
            <v>14402</v>
          </cell>
        </row>
        <row r="17">
          <cell r="G17" t="str">
            <v>外資Sell大台</v>
          </cell>
          <cell r="H17">
            <v>16883.457388663966</v>
          </cell>
          <cell r="K17">
            <v>-32082</v>
          </cell>
        </row>
        <row r="18">
          <cell r="G18" t="str">
            <v>自營商Sell小台</v>
          </cell>
          <cell r="H18">
            <v>16884.127805049087</v>
          </cell>
          <cell r="L18">
            <v>-17556</v>
          </cell>
        </row>
        <row r="19">
          <cell r="G19" t="str">
            <v>自營商Buy-Put</v>
          </cell>
          <cell r="H19">
            <v>16900</v>
          </cell>
          <cell r="M19">
            <v>-15632</v>
          </cell>
        </row>
        <row r="20">
          <cell r="G20" t="str">
            <v>外資Sell小台</v>
          </cell>
          <cell r="H20">
            <v>16935.383057711777</v>
          </cell>
          <cell r="N20">
            <v>-7647</v>
          </cell>
        </row>
        <row r="21">
          <cell r="G21" t="str">
            <v>投信Sell大台</v>
          </cell>
          <cell r="H21">
            <v>16935.720580186098</v>
          </cell>
          <cell r="O21">
            <v>-956</v>
          </cell>
        </row>
        <row r="22">
          <cell r="G22" t="str">
            <v>投信Buy小台</v>
          </cell>
          <cell r="H22">
            <v>16935.98705501618</v>
          </cell>
          <cell r="P22">
            <v>309</v>
          </cell>
        </row>
        <row r="23">
          <cell r="G23" t="str">
            <v>外資Buy-Put</v>
          </cell>
          <cell r="H23">
            <v>17000</v>
          </cell>
          <cell r="Q23">
            <v>-17375</v>
          </cell>
        </row>
        <row r="24">
          <cell r="G24" t="str">
            <v>自營商Sell-Call</v>
          </cell>
          <cell r="H24">
            <v>17050</v>
          </cell>
          <cell r="R24">
            <v>-1961</v>
          </cell>
        </row>
        <row r="25">
          <cell r="G25" t="str">
            <v>外資Sell-Call</v>
          </cell>
          <cell r="H25">
            <v>17100</v>
          </cell>
          <cell r="S25">
            <v>-14392</v>
          </cell>
        </row>
        <row r="26">
          <cell r="G26" t="str">
            <v>投信Sell-Put</v>
          </cell>
          <cell r="H26">
            <v>17400</v>
          </cell>
          <cell r="T26">
            <v>59</v>
          </cell>
        </row>
        <row r="27">
          <cell r="G27" t="str">
            <v/>
          </cell>
          <cell r="H27" t="str">
            <v/>
          </cell>
          <cell r="U27" t="str">
            <v/>
          </cell>
        </row>
        <row r="30">
          <cell r="G30" t="str">
            <v>自營商Buy電子期</v>
          </cell>
          <cell r="H30">
            <v>800.85246433203633</v>
          </cell>
          <cell r="J30">
            <v>245</v>
          </cell>
        </row>
        <row r="31">
          <cell r="G31" t="str">
            <v>投信Buy電子期</v>
          </cell>
          <cell r="H31">
            <v>801.15943877551013</v>
          </cell>
          <cell r="K31">
            <v>196</v>
          </cell>
        </row>
        <row r="32">
          <cell r="G32" t="str">
            <v>外資Sell電子期</v>
          </cell>
          <cell r="H32">
            <v>801.19994469026551</v>
          </cell>
          <cell r="L32">
            <v>-299</v>
          </cell>
        </row>
        <row r="33">
          <cell r="G33" t="str">
            <v>自營商Sell金融期</v>
          </cell>
          <cell r="H33">
            <v>1521.166015625</v>
          </cell>
          <cell r="J33">
            <v>-117</v>
          </cell>
        </row>
        <row r="34">
          <cell r="G34" t="str">
            <v>外資Sell金融期</v>
          </cell>
          <cell r="H34">
            <v>1521.2321335419927</v>
          </cell>
          <cell r="K34">
            <v>-1578</v>
          </cell>
        </row>
        <row r="35">
          <cell r="G35" t="str">
            <v>投信Buy金融期</v>
          </cell>
          <cell r="H35">
            <v>1523.1904761904761</v>
          </cell>
          <cell r="L35">
            <v>21</v>
          </cell>
        </row>
        <row r="36">
          <cell r="G36" t="str">
            <v>自營商Sell台灣50期</v>
          </cell>
          <cell r="H36">
            <v>8005.7318141980713</v>
          </cell>
          <cell r="J36">
            <v>-1022</v>
          </cell>
        </row>
        <row r="37">
          <cell r="G37" t="str">
            <v>外資Buy台灣50期</v>
          </cell>
          <cell r="H37">
            <v>8012.0149253731352</v>
          </cell>
          <cell r="K37">
            <v>536</v>
          </cell>
        </row>
        <row r="38">
          <cell r="G38" t="str">
            <v/>
          </cell>
          <cell r="H38" t="str">
            <v/>
          </cell>
          <cell r="L38" t="str">
            <v/>
          </cell>
        </row>
        <row r="45">
          <cell r="G45" t="str">
            <v>自營商Sell櫃買指數期貨</v>
          </cell>
          <cell r="H45">
            <v>131.26305178268251</v>
          </cell>
          <cell r="J45">
            <v>-834</v>
          </cell>
        </row>
        <row r="46">
          <cell r="G46" t="str">
            <v>投信Buy櫃買指數期貨</v>
          </cell>
          <cell r="H46">
            <v>247.45316859306496</v>
          </cell>
          <cell r="K46">
            <v>1038</v>
          </cell>
        </row>
        <row r="47">
          <cell r="G47" t="str">
            <v>外資Sell櫃買指數期貨</v>
          </cell>
          <cell r="H47">
            <v>271.58481152993346</v>
          </cell>
          <cell r="L47">
            <v>-1368</v>
          </cell>
        </row>
        <row r="48">
          <cell r="G48" t="str">
            <v>自營商Sell非金電期貨</v>
          </cell>
          <cell r="H48">
            <v>8265.3174603174612</v>
          </cell>
          <cell r="J48">
            <v>-123</v>
          </cell>
        </row>
        <row r="49">
          <cell r="G49" t="str">
            <v>外資Sell非金電期貨</v>
          </cell>
          <cell r="H49">
            <v>8282</v>
          </cell>
          <cell r="K49">
            <v>-10</v>
          </cell>
        </row>
        <row r="50">
          <cell r="G50" t="str">
            <v/>
          </cell>
          <cell r="H50" t="str">
            <v/>
          </cell>
          <cell r="L50" t="str">
            <v/>
          </cell>
        </row>
        <row r="74">
          <cell r="G74" t="str">
            <v>投信Sell大台</v>
          </cell>
          <cell r="H74">
            <v>16530.015873015873</v>
          </cell>
          <cell r="J74">
            <v>-1092</v>
          </cell>
        </row>
        <row r="75">
          <cell r="G75" t="str">
            <v>自營商Buy大台</v>
          </cell>
          <cell r="H75">
            <v>16593.809844404546</v>
          </cell>
          <cell r="K75">
            <v>104</v>
          </cell>
        </row>
        <row r="76">
          <cell r="G76" t="str">
            <v>外資Sell-Call</v>
          </cell>
          <cell r="H76">
            <v>16600</v>
          </cell>
          <cell r="L76">
            <v>-5075</v>
          </cell>
        </row>
        <row r="77">
          <cell r="G77" t="str">
            <v>自營商Sell小台</v>
          </cell>
          <cell r="H77">
            <v>16618.418859649122</v>
          </cell>
          <cell r="M77">
            <v>-1537</v>
          </cell>
        </row>
        <row r="78">
          <cell r="G78" t="str">
            <v>外資Buy大台</v>
          </cell>
          <cell r="H78">
            <v>16635.750599442679</v>
          </cell>
          <cell r="N78">
            <v>3699</v>
          </cell>
        </row>
        <row r="79">
          <cell r="G79" t="str">
            <v>外資Sell小台</v>
          </cell>
          <cell r="H79">
            <v>16655.212629782392</v>
          </cell>
          <cell r="O79">
            <v>-4935</v>
          </cell>
        </row>
        <row r="80">
          <cell r="G80" t="str">
            <v>自營商Sell-Call</v>
          </cell>
          <cell r="H80">
            <v>16750</v>
          </cell>
          <cell r="P80">
            <v>-9307</v>
          </cell>
        </row>
        <row r="81">
          <cell r="G81" t="str">
            <v/>
          </cell>
          <cell r="H81" t="str">
            <v/>
          </cell>
          <cell r="Q81" t="str">
            <v/>
          </cell>
        </row>
        <row r="82">
          <cell r="G82" t="str">
            <v/>
          </cell>
          <cell r="H82" t="str">
            <v/>
          </cell>
          <cell r="R82" t="str">
            <v/>
          </cell>
        </row>
        <row r="83">
          <cell r="G83" t="str">
            <v/>
          </cell>
          <cell r="H83" t="str">
            <v/>
          </cell>
          <cell r="S83" t="str">
            <v/>
          </cell>
        </row>
        <row r="84">
          <cell r="G84" t="str">
            <v/>
          </cell>
          <cell r="H84" t="str">
            <v/>
          </cell>
          <cell r="T84" t="str">
            <v/>
          </cell>
        </row>
        <row r="85">
          <cell r="G85" t="str">
            <v/>
          </cell>
          <cell r="H85" t="str">
            <v/>
          </cell>
          <cell r="U85" t="str">
            <v/>
          </cell>
        </row>
        <row r="88">
          <cell r="G88" t="str">
            <v>自營商Buy小台</v>
          </cell>
          <cell r="H88">
            <v>16491.633010744496</v>
          </cell>
          <cell r="J88">
            <v>2865</v>
          </cell>
        </row>
        <row r="89">
          <cell r="G89" t="str">
            <v>自營商Buy大台</v>
          </cell>
          <cell r="H89">
            <v>16492.000615209879</v>
          </cell>
          <cell r="K89">
            <v>13838</v>
          </cell>
        </row>
        <row r="90">
          <cell r="G90" t="str">
            <v>外資Sell大台</v>
          </cell>
          <cell r="H90">
            <v>16503.477119479758</v>
          </cell>
          <cell r="L90">
            <v>-13037</v>
          </cell>
        </row>
        <row r="91">
          <cell r="G91" t="str">
            <v>外資Sell小台</v>
          </cell>
          <cell r="H91">
            <v>16516.868524061709</v>
          </cell>
          <cell r="M91">
            <v>-21180</v>
          </cell>
        </row>
        <row r="92">
          <cell r="G92" t="str">
            <v>投信Sell大台</v>
          </cell>
          <cell r="H92">
            <v>16518.000054996424</v>
          </cell>
          <cell r="N92">
            <v>-6083</v>
          </cell>
        </row>
        <row r="93">
          <cell r="G93" t="str">
            <v>投信Buy小台</v>
          </cell>
          <cell r="H93">
            <v>16518.032786885247</v>
          </cell>
          <cell r="O93">
            <v>244</v>
          </cell>
        </row>
        <row r="94">
          <cell r="G94" t="str">
            <v>外資Sell-Call</v>
          </cell>
          <cell r="H94">
            <v>16650</v>
          </cell>
          <cell r="P94">
            <v>-6537</v>
          </cell>
        </row>
        <row r="95">
          <cell r="G95" t="str">
            <v>自營商Buy-Put</v>
          </cell>
          <cell r="H95">
            <v>16700</v>
          </cell>
          <cell r="Q95">
            <v>-10230</v>
          </cell>
        </row>
        <row r="96">
          <cell r="G96" t="str">
            <v>自營商Sell-Call</v>
          </cell>
          <cell r="H96">
            <v>16800</v>
          </cell>
          <cell r="R96">
            <v>-2832</v>
          </cell>
        </row>
        <row r="97">
          <cell r="G97" t="str">
            <v>外資Buy-Put</v>
          </cell>
          <cell r="H97">
            <v>16800</v>
          </cell>
          <cell r="S97">
            <v>-27087</v>
          </cell>
        </row>
        <row r="98">
          <cell r="G98" t="str">
            <v>投信Sell-Put</v>
          </cell>
          <cell r="H98">
            <v>17250</v>
          </cell>
          <cell r="T98">
            <v>60</v>
          </cell>
        </row>
        <row r="99">
          <cell r="G99" t="str">
            <v/>
          </cell>
          <cell r="H99" t="str">
            <v/>
          </cell>
          <cell r="U99" t="str">
            <v/>
          </cell>
        </row>
        <row r="102">
          <cell r="G102" t="str">
            <v>自營商Sell電子期</v>
          </cell>
          <cell r="H102">
            <v>776.37435897435898</v>
          </cell>
          <cell r="J102">
            <v>-317</v>
          </cell>
        </row>
        <row r="103">
          <cell r="G103" t="str">
            <v>外資Buy電子期</v>
          </cell>
          <cell r="H103">
            <v>776.39989293361884</v>
          </cell>
          <cell r="K103">
            <v>515</v>
          </cell>
        </row>
        <row r="104">
          <cell r="G104" t="str">
            <v>投信Buy電子期</v>
          </cell>
          <cell r="H104">
            <v>776.4</v>
          </cell>
          <cell r="L104">
            <v>185</v>
          </cell>
        </row>
        <row r="105">
          <cell r="G105" t="str">
            <v>自營商Buy金融期</v>
          </cell>
          <cell r="H105">
            <v>1567.8472906403942</v>
          </cell>
          <cell r="J105">
            <v>235</v>
          </cell>
        </row>
        <row r="106">
          <cell r="G106" t="str">
            <v>投信Buy金融期</v>
          </cell>
          <cell r="H106">
            <v>1568</v>
          </cell>
          <cell r="K106">
            <v>24</v>
          </cell>
        </row>
        <row r="107">
          <cell r="G107" t="str">
            <v>外資Sell金融期</v>
          </cell>
          <cell r="H107">
            <v>1568</v>
          </cell>
          <cell r="L107">
            <v>-1701</v>
          </cell>
        </row>
        <row r="108">
          <cell r="G108" t="str">
            <v>自營商Buy台灣50期</v>
          </cell>
          <cell r="H108">
            <v>7763.393939393939</v>
          </cell>
          <cell r="J108">
            <v>11</v>
          </cell>
        </row>
        <row r="109">
          <cell r="G109" t="str">
            <v>外資Sell台灣50期</v>
          </cell>
          <cell r="H109">
            <v>7764.0131578947367</v>
          </cell>
          <cell r="K109">
            <v>-304</v>
          </cell>
        </row>
        <row r="110">
          <cell r="G110" t="str">
            <v/>
          </cell>
          <cell r="H110" t="str">
            <v/>
          </cell>
          <cell r="L110" t="str">
            <v/>
          </cell>
        </row>
        <row r="117">
          <cell r="G117" t="str">
            <v>自營商Sell櫃買指數期貨</v>
          </cell>
          <cell r="H117">
            <v>149.60147601476015</v>
          </cell>
          <cell r="J117">
            <v>-300</v>
          </cell>
        </row>
        <row r="118">
          <cell r="G118" t="str">
            <v>投信Buy櫃買指數期貨</v>
          </cell>
          <cell r="H118">
            <v>246.10358004827032</v>
          </cell>
          <cell r="K118">
            <v>1180</v>
          </cell>
        </row>
        <row r="119">
          <cell r="G119" t="str">
            <v>外資Sell櫃買指數期貨</v>
          </cell>
          <cell r="H119">
            <v>267.35426929392446</v>
          </cell>
          <cell r="L119">
            <v>-2116</v>
          </cell>
        </row>
        <row r="120">
          <cell r="G120" t="str">
            <v>自營商Sell非金電期貨</v>
          </cell>
          <cell r="H120">
            <v>8013.5238095238092</v>
          </cell>
          <cell r="J120">
            <v>-95</v>
          </cell>
        </row>
        <row r="121">
          <cell r="G121" t="str">
            <v/>
          </cell>
          <cell r="H121" t="str">
            <v/>
          </cell>
          <cell r="K121" t="str">
            <v/>
          </cell>
        </row>
        <row r="122">
          <cell r="G122" t="str">
            <v/>
          </cell>
          <cell r="H122" t="str">
            <v/>
          </cell>
          <cell r="L122" t="str">
            <v/>
          </cell>
        </row>
      </sheetData>
      <sheetData sheetId="2"/>
      <sheetData sheetId="3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60B3-29CE-4C25-A13E-A5C11F96DA33}">
  <sheetPr codeName="工作表5">
    <tabColor rgb="FFFFFF00"/>
  </sheetPr>
  <dimension ref="A1:W115"/>
  <sheetViews>
    <sheetView zoomScale="76" zoomScaleNormal="76" workbookViewId="0">
      <selection activeCell="F10" sqref="F10"/>
    </sheetView>
  </sheetViews>
  <sheetFormatPr defaultColWidth="0" defaultRowHeight="17" customHeight="1" zeroHeight="1" x14ac:dyDescent="0.4"/>
  <cols>
    <col min="1" max="1" width="0.7265625" style="11" customWidth="1"/>
    <col min="2" max="2" width="13.36328125" style="11" customWidth="1"/>
    <col min="3" max="4" width="9.36328125" style="11" bestFit="1" customWidth="1"/>
    <col min="5" max="5" width="6.6328125" style="11" customWidth="1"/>
    <col min="6" max="6" width="3.6328125" style="11" bestFit="1" customWidth="1"/>
    <col min="7" max="23" width="9" style="11" customWidth="1"/>
    <col min="24" max="16384" width="9" style="11" hidden="1"/>
  </cols>
  <sheetData>
    <row r="1" spans="2:6" ht="17.5" thickBot="1" x14ac:dyDescent="0.45">
      <c r="C1" s="24" t="s">
        <v>0</v>
      </c>
      <c r="D1" s="24" t="s">
        <v>1</v>
      </c>
    </row>
    <row r="2" spans="2:6" ht="17.5" thickBot="1" x14ac:dyDescent="0.45">
      <c r="C2" s="25">
        <v>44482</v>
      </c>
      <c r="D2" s="25">
        <f ca="1">IF(WEEKDAY(TODAY())=7,TODAY()-1,IF(WEEKDAY(TODAY())=1,TODAY()-2,TODAY()))</f>
        <v>44487</v>
      </c>
    </row>
    <row r="3" spans="2:6" ht="17.5" thickBot="1" x14ac:dyDescent="0.45"/>
    <row r="4" spans="2:6" ht="17.5" thickBot="1" x14ac:dyDescent="0.45">
      <c r="B4" s="1" t="s">
        <v>2</v>
      </c>
      <c r="C4" s="1" t="s">
        <v>3</v>
      </c>
      <c r="D4" s="1" t="s">
        <v>3</v>
      </c>
      <c r="E4" s="93" t="s">
        <v>4</v>
      </c>
      <c r="F4" s="94"/>
    </row>
    <row r="5" spans="2:6" x14ac:dyDescent="0.4">
      <c r="B5" s="2" t="s">
        <v>5</v>
      </c>
      <c r="C5" s="2">
        <f>對照日彙整!X5</f>
        <v>-3292</v>
      </c>
      <c r="D5" s="2">
        <f>最新日彙整!X5</f>
        <v>-4986</v>
      </c>
      <c r="E5" s="3">
        <f>D5-C5</f>
        <v>-1694</v>
      </c>
      <c r="F5" s="4" t="str">
        <f>IF(E5&gt;0,"▲",IF(E5&lt;0,"▼",""))</f>
        <v>▼</v>
      </c>
    </row>
    <row r="6" spans="2:6" x14ac:dyDescent="0.4">
      <c r="B6" s="5" t="s">
        <v>6</v>
      </c>
      <c r="C6" s="5">
        <f>對照日彙整!X6</f>
        <v>0</v>
      </c>
      <c r="D6" s="5">
        <f>最新日彙整!X6</f>
        <v>0</v>
      </c>
      <c r="E6" s="6">
        <f t="shared" ref="E6:E37" si="0">D6-C6</f>
        <v>0</v>
      </c>
      <c r="F6" s="7" t="str">
        <f t="shared" ref="F6:F37" si="1">IF(E6&gt;0,"▲",IF(E6&lt;0,"▼",""))</f>
        <v/>
      </c>
    </row>
    <row r="7" spans="2:6" ht="17.5" thickBot="1" x14ac:dyDescent="0.45">
      <c r="B7" s="8" t="s">
        <v>7</v>
      </c>
      <c r="C7" s="8">
        <f>對照日彙整!X7</f>
        <v>5743</v>
      </c>
      <c r="D7" s="8">
        <f>最新日彙整!X7</f>
        <v>20911</v>
      </c>
      <c r="E7" s="9">
        <f t="shared" si="0"/>
        <v>15168</v>
      </c>
      <c r="F7" s="10" t="str">
        <f t="shared" si="1"/>
        <v>▲</v>
      </c>
    </row>
    <row r="8" spans="2:6" x14ac:dyDescent="0.4">
      <c r="B8" s="15" t="s">
        <v>8</v>
      </c>
      <c r="C8" s="15">
        <f>對照日彙整!X8</f>
        <v>6400</v>
      </c>
      <c r="D8" s="15">
        <f>最新日彙整!X8</f>
        <v>-6154</v>
      </c>
      <c r="E8" s="16">
        <f t="shared" si="0"/>
        <v>-12554</v>
      </c>
      <c r="F8" s="17" t="str">
        <f t="shared" si="1"/>
        <v>▼</v>
      </c>
    </row>
    <row r="9" spans="2:6" x14ac:dyDescent="0.4">
      <c r="B9" s="18" t="s">
        <v>9</v>
      </c>
      <c r="C9" s="18">
        <f>對照日彙整!X9</f>
        <v>-59</v>
      </c>
      <c r="D9" s="18">
        <f>最新日彙整!X9</f>
        <v>-60</v>
      </c>
      <c r="E9" s="19">
        <f t="shared" si="0"/>
        <v>-1</v>
      </c>
      <c r="F9" s="20" t="str">
        <f t="shared" si="1"/>
        <v>▼</v>
      </c>
    </row>
    <row r="10" spans="2:6" ht="17.5" thickBot="1" x14ac:dyDescent="0.45">
      <c r="B10" s="21" t="s">
        <v>10</v>
      </c>
      <c r="C10" s="21">
        <f>對照日彙整!X10</f>
        <v>36924</v>
      </c>
      <c r="D10" s="21">
        <f>最新日彙整!X10</f>
        <v>41788</v>
      </c>
      <c r="E10" s="22">
        <f t="shared" si="0"/>
        <v>4864</v>
      </c>
      <c r="F10" s="23" t="str">
        <f t="shared" si="1"/>
        <v>▲</v>
      </c>
    </row>
    <row r="11" spans="2:6" ht="17.5" thickBot="1" x14ac:dyDescent="0.45">
      <c r="B11" s="12"/>
      <c r="C11" s="12"/>
      <c r="D11" s="12"/>
      <c r="E11" s="13"/>
      <c r="F11" s="14"/>
    </row>
    <row r="12" spans="2:6" x14ac:dyDescent="0.4">
      <c r="B12" s="2" t="s">
        <v>11</v>
      </c>
      <c r="C12" s="2">
        <f>對照日彙整!X15</f>
        <v>12815</v>
      </c>
      <c r="D12" s="2">
        <f>最新日彙整!X15</f>
        <v>13283</v>
      </c>
      <c r="E12" s="3">
        <f t="shared" si="0"/>
        <v>468</v>
      </c>
      <c r="F12" s="4" t="str">
        <f t="shared" si="1"/>
        <v>▲</v>
      </c>
    </row>
    <row r="13" spans="2:6" x14ac:dyDescent="0.4">
      <c r="B13" s="5" t="s">
        <v>12</v>
      </c>
      <c r="C13" s="5">
        <f>對照日彙整!X16</f>
        <v>-5352</v>
      </c>
      <c r="D13" s="5">
        <f>最新日彙整!X16</f>
        <v>-3665</v>
      </c>
      <c r="E13" s="6">
        <f t="shared" si="0"/>
        <v>1687</v>
      </c>
      <c r="F13" s="7" t="str">
        <f t="shared" si="1"/>
        <v>▲</v>
      </c>
    </row>
    <row r="14" spans="2:6" ht="17.5" thickBot="1" x14ac:dyDescent="0.45">
      <c r="B14" s="8" t="s">
        <v>13</v>
      </c>
      <c r="C14" s="8">
        <f>對照日彙整!X17</f>
        <v>-18436</v>
      </c>
      <c r="D14" s="8">
        <f>最新日彙整!X17</f>
        <v>-19002</v>
      </c>
      <c r="E14" s="9">
        <f t="shared" si="0"/>
        <v>-566</v>
      </c>
      <c r="F14" s="10" t="str">
        <f t="shared" si="1"/>
        <v>▼</v>
      </c>
    </row>
    <row r="15" spans="2:6" x14ac:dyDescent="0.4">
      <c r="B15" s="15" t="s">
        <v>14</v>
      </c>
      <c r="C15" s="15">
        <f>對照日彙整!X24</f>
        <v>540</v>
      </c>
      <c r="D15" s="15">
        <f>最新日彙整!X24</f>
        <v>2558</v>
      </c>
      <c r="E15" s="16">
        <f t="shared" si="0"/>
        <v>2018</v>
      </c>
      <c r="F15" s="17" t="str">
        <f t="shared" si="1"/>
        <v>▲</v>
      </c>
    </row>
    <row r="16" spans="2:6" x14ac:dyDescent="0.4">
      <c r="B16" s="18" t="s">
        <v>208</v>
      </c>
      <c r="C16" s="18">
        <f>對照日彙整!X25</f>
        <v>250</v>
      </c>
      <c r="D16" s="18">
        <f>最新日彙整!X25</f>
        <v>254</v>
      </c>
      <c r="E16" s="19">
        <f t="shared" si="0"/>
        <v>4</v>
      </c>
      <c r="F16" s="20" t="str">
        <f t="shared" si="1"/>
        <v>▲</v>
      </c>
    </row>
    <row r="17" spans="2:6" ht="17.5" thickBot="1" x14ac:dyDescent="0.45">
      <c r="B17" s="21" t="s">
        <v>209</v>
      </c>
      <c r="C17" s="21">
        <f>對照日彙整!X26</f>
        <v>-15203</v>
      </c>
      <c r="D17" s="21">
        <f>最新日彙整!X26</f>
        <v>-8190</v>
      </c>
      <c r="E17" s="22">
        <f t="shared" si="0"/>
        <v>7013</v>
      </c>
      <c r="F17" s="23" t="str">
        <f t="shared" si="1"/>
        <v>▲</v>
      </c>
    </row>
    <row r="18" spans="2:6" ht="17.5" thickBot="1" x14ac:dyDescent="0.45">
      <c r="B18" s="12"/>
      <c r="C18" s="12"/>
      <c r="D18" s="12"/>
      <c r="E18" s="13"/>
      <c r="F18" s="14"/>
    </row>
    <row r="19" spans="2:6" x14ac:dyDescent="0.4">
      <c r="B19" s="2" t="s">
        <v>15</v>
      </c>
      <c r="C19" s="2">
        <f>對照日彙整!X18</f>
        <v>-153</v>
      </c>
      <c r="D19" s="2">
        <f>最新日彙整!X18</f>
        <v>4</v>
      </c>
      <c r="E19" s="3">
        <f t="shared" si="0"/>
        <v>157</v>
      </c>
      <c r="F19" s="4" t="str">
        <f t="shared" si="1"/>
        <v>▲</v>
      </c>
    </row>
    <row r="20" spans="2:6" x14ac:dyDescent="0.4">
      <c r="B20" s="5" t="s">
        <v>16</v>
      </c>
      <c r="C20" s="5">
        <f>對照日彙整!X19</f>
        <v>167</v>
      </c>
      <c r="D20" s="5">
        <f>最新日彙整!X19</f>
        <v>165</v>
      </c>
      <c r="E20" s="6">
        <f t="shared" si="0"/>
        <v>-2</v>
      </c>
      <c r="F20" s="7" t="str">
        <f t="shared" si="1"/>
        <v>▼</v>
      </c>
    </row>
    <row r="21" spans="2:6" ht="17.5" thickBot="1" x14ac:dyDescent="0.45">
      <c r="B21" s="8" t="s">
        <v>17</v>
      </c>
      <c r="C21" s="8">
        <f>對照日彙整!X20</f>
        <v>373</v>
      </c>
      <c r="D21" s="8">
        <f>最新日彙整!X20</f>
        <v>343</v>
      </c>
      <c r="E21" s="9">
        <f t="shared" si="0"/>
        <v>-30</v>
      </c>
      <c r="F21" s="10" t="str">
        <f t="shared" si="1"/>
        <v>▼</v>
      </c>
    </row>
    <row r="22" spans="2:6" ht="17.5" thickBot="1" x14ac:dyDescent="0.45">
      <c r="B22" s="12"/>
      <c r="C22" s="12"/>
      <c r="D22" s="12"/>
      <c r="E22" s="13"/>
      <c r="F22" s="14"/>
    </row>
    <row r="23" spans="2:6" x14ac:dyDescent="0.4">
      <c r="B23" s="15" t="s">
        <v>18</v>
      </c>
      <c r="C23" s="15">
        <f>對照日彙整!X21</f>
        <v>262</v>
      </c>
      <c r="D23" s="15">
        <f>最新日彙整!X21</f>
        <v>192</v>
      </c>
      <c r="E23" s="16">
        <f t="shared" si="0"/>
        <v>-70</v>
      </c>
      <c r="F23" s="17" t="str">
        <f t="shared" si="1"/>
        <v>▼</v>
      </c>
    </row>
    <row r="24" spans="2:6" x14ac:dyDescent="0.4">
      <c r="B24" s="18" t="s">
        <v>19</v>
      </c>
      <c r="C24" s="18">
        <f>對照日彙整!X22</f>
        <v>24</v>
      </c>
      <c r="D24" s="18">
        <f>最新日彙整!X22</f>
        <v>24</v>
      </c>
      <c r="E24" s="19">
        <f t="shared" si="0"/>
        <v>0</v>
      </c>
      <c r="F24" s="20" t="str">
        <f t="shared" si="1"/>
        <v/>
      </c>
    </row>
    <row r="25" spans="2:6" ht="17.5" thickBot="1" x14ac:dyDescent="0.45">
      <c r="B25" s="21" t="s">
        <v>20</v>
      </c>
      <c r="C25" s="21">
        <f>對照日彙整!X23</f>
        <v>-1674</v>
      </c>
      <c r="D25" s="21">
        <f>最新日彙整!X23</f>
        <v>-1642</v>
      </c>
      <c r="E25" s="22">
        <f t="shared" si="0"/>
        <v>32</v>
      </c>
      <c r="F25" s="23" t="str">
        <f t="shared" si="1"/>
        <v>▲</v>
      </c>
    </row>
    <row r="26" spans="2:6" ht="17.5" thickBot="1" x14ac:dyDescent="0.45">
      <c r="B26" s="12"/>
      <c r="C26" s="12"/>
      <c r="D26" s="12"/>
      <c r="E26" s="13"/>
      <c r="F26" s="14"/>
    </row>
    <row r="27" spans="2:6" x14ac:dyDescent="0.4">
      <c r="B27" s="2" t="s">
        <v>21</v>
      </c>
      <c r="C27" s="2">
        <f>對照日彙整!X27</f>
        <v>70</v>
      </c>
      <c r="D27" s="2">
        <f>最新日彙整!X27</f>
        <v>78</v>
      </c>
      <c r="E27" s="3">
        <f t="shared" si="0"/>
        <v>8</v>
      </c>
      <c r="F27" s="4" t="str">
        <f t="shared" si="1"/>
        <v>▲</v>
      </c>
    </row>
    <row r="28" spans="2:6" x14ac:dyDescent="0.4">
      <c r="B28" s="5" t="s">
        <v>22</v>
      </c>
      <c r="C28" s="5">
        <f>對照日彙整!X28</f>
        <v>0</v>
      </c>
      <c r="D28" s="5">
        <f>最新日彙整!X28</f>
        <v>0</v>
      </c>
      <c r="E28" s="6">
        <f t="shared" si="0"/>
        <v>0</v>
      </c>
      <c r="F28" s="7" t="str">
        <f t="shared" si="1"/>
        <v/>
      </c>
    </row>
    <row r="29" spans="2:6" ht="17.5" thickBot="1" x14ac:dyDescent="0.45">
      <c r="B29" s="8" t="s">
        <v>23</v>
      </c>
      <c r="C29" s="8">
        <f>對照日彙整!X29</f>
        <v>24</v>
      </c>
      <c r="D29" s="8">
        <f>最新日彙整!X29</f>
        <v>280</v>
      </c>
      <c r="E29" s="9">
        <f t="shared" si="0"/>
        <v>256</v>
      </c>
      <c r="F29" s="10" t="str">
        <f t="shared" si="1"/>
        <v>▲</v>
      </c>
    </row>
    <row r="30" spans="2:6" ht="17.5" thickBot="1" x14ac:dyDescent="0.45">
      <c r="B30" s="12"/>
      <c r="C30" s="12"/>
      <c r="D30" s="12"/>
      <c r="E30" s="13"/>
      <c r="F30" s="14"/>
    </row>
    <row r="31" spans="2:6" x14ac:dyDescent="0.4">
      <c r="B31" s="15" t="s">
        <v>24</v>
      </c>
      <c r="C31" s="15">
        <f>對照日彙整!X36</f>
        <v>-683</v>
      </c>
      <c r="D31" s="15">
        <f>最新日彙整!X36</f>
        <v>-756</v>
      </c>
      <c r="E31" s="16">
        <f t="shared" si="0"/>
        <v>-73</v>
      </c>
      <c r="F31" s="17" t="str">
        <f t="shared" si="1"/>
        <v>▼</v>
      </c>
    </row>
    <row r="32" spans="2:6" x14ac:dyDescent="0.4">
      <c r="B32" s="18" t="s">
        <v>25</v>
      </c>
      <c r="C32" s="18">
        <f>對照日彙整!X37</f>
        <v>1180</v>
      </c>
      <c r="D32" s="18">
        <f>最新日彙整!X37</f>
        <v>1180</v>
      </c>
      <c r="E32" s="19">
        <f t="shared" si="0"/>
        <v>0</v>
      </c>
      <c r="F32" s="20" t="str">
        <f t="shared" si="1"/>
        <v/>
      </c>
    </row>
    <row r="33" spans="2:6" ht="17.5" thickBot="1" x14ac:dyDescent="0.45">
      <c r="B33" s="21" t="s">
        <v>26</v>
      </c>
      <c r="C33" s="21">
        <f>對照日彙整!X38</f>
        <v>-1743</v>
      </c>
      <c r="D33" s="21">
        <f>最新日彙整!X38</f>
        <v>-1596</v>
      </c>
      <c r="E33" s="22">
        <f t="shared" si="0"/>
        <v>147</v>
      </c>
      <c r="F33" s="23" t="str">
        <f t="shared" si="1"/>
        <v>▲</v>
      </c>
    </row>
    <row r="34" spans="2:6" ht="17.5" thickBot="1" x14ac:dyDescent="0.45">
      <c r="B34" s="12"/>
      <c r="C34" s="12"/>
      <c r="D34" s="12"/>
      <c r="E34" s="13"/>
      <c r="F34" s="14"/>
    </row>
    <row r="35" spans="2:6" x14ac:dyDescent="0.4">
      <c r="B35" s="2" t="s">
        <v>27</v>
      </c>
      <c r="C35" s="2">
        <f>對照日彙整!X39</f>
        <v>-72</v>
      </c>
      <c r="D35" s="2">
        <f>最新日彙整!X39</f>
        <v>-70</v>
      </c>
      <c r="E35" s="3">
        <f t="shared" si="0"/>
        <v>2</v>
      </c>
      <c r="F35" s="4" t="str">
        <f t="shared" si="1"/>
        <v>▲</v>
      </c>
    </row>
    <row r="36" spans="2:6" x14ac:dyDescent="0.4">
      <c r="B36" s="5" t="s">
        <v>28</v>
      </c>
      <c r="C36" s="5">
        <f>對照日彙整!X40</f>
        <v>0</v>
      </c>
      <c r="D36" s="5">
        <f>最新日彙整!X40</f>
        <v>0</v>
      </c>
      <c r="E36" s="6">
        <f t="shared" si="0"/>
        <v>0</v>
      </c>
      <c r="F36" s="7" t="str">
        <f t="shared" si="1"/>
        <v/>
      </c>
    </row>
    <row r="37" spans="2:6" ht="17.5" thickBot="1" x14ac:dyDescent="0.45">
      <c r="B37" s="8" t="s">
        <v>29</v>
      </c>
      <c r="C37" s="8">
        <f>對照日彙整!X41</f>
        <v>0</v>
      </c>
      <c r="D37" s="8">
        <f>最新日彙整!X41</f>
        <v>0</v>
      </c>
      <c r="E37" s="9">
        <f t="shared" si="0"/>
        <v>0</v>
      </c>
      <c r="F37" s="10" t="str">
        <f t="shared" si="1"/>
        <v/>
      </c>
    </row>
    <row r="38" spans="2:6" x14ac:dyDescent="0.4"/>
    <row r="39" spans="2:6" x14ac:dyDescent="0.4"/>
    <row r="40" spans="2:6" x14ac:dyDescent="0.4"/>
    <row r="41" spans="2:6" x14ac:dyDescent="0.4"/>
    <row r="42" spans="2:6" x14ac:dyDescent="0.4"/>
    <row r="43" spans="2:6" x14ac:dyDescent="0.4"/>
    <row r="44" spans="2:6" x14ac:dyDescent="0.4"/>
    <row r="45" spans="2:6" x14ac:dyDescent="0.4"/>
    <row r="46" spans="2:6" x14ac:dyDescent="0.4"/>
    <row r="47" spans="2:6" x14ac:dyDescent="0.4"/>
    <row r="48" spans="2:6" x14ac:dyDescent="0.4"/>
    <row r="49" x14ac:dyDescent="0.4"/>
    <row r="50" x14ac:dyDescent="0.4"/>
    <row r="51" x14ac:dyDescent="0.4"/>
    <row r="52" x14ac:dyDescent="0.4"/>
    <row r="53" x14ac:dyDescent="0.4"/>
    <row r="54" x14ac:dyDescent="0.4"/>
    <row r="55" x14ac:dyDescent="0.4"/>
    <row r="56" x14ac:dyDescent="0.4"/>
    <row r="57" x14ac:dyDescent="0.4"/>
    <row r="58" x14ac:dyDescent="0.4"/>
    <row r="59" x14ac:dyDescent="0.4"/>
    <row r="60" x14ac:dyDescent="0.4"/>
    <row r="61" x14ac:dyDescent="0.4"/>
    <row r="62" x14ac:dyDescent="0.4"/>
    <row r="63" x14ac:dyDescent="0.4"/>
    <row r="64" x14ac:dyDescent="0.4"/>
    <row r="65" x14ac:dyDescent="0.4"/>
    <row r="66" x14ac:dyDescent="0.4"/>
    <row r="67" x14ac:dyDescent="0.4"/>
    <row r="68" x14ac:dyDescent="0.4"/>
    <row r="69" x14ac:dyDescent="0.4"/>
    <row r="70" x14ac:dyDescent="0.4"/>
    <row r="71" x14ac:dyDescent="0.4"/>
    <row r="72" x14ac:dyDescent="0.4"/>
    <row r="73" x14ac:dyDescent="0.4"/>
    <row r="74" x14ac:dyDescent="0.4"/>
    <row r="75" x14ac:dyDescent="0.4"/>
    <row r="76" x14ac:dyDescent="0.4"/>
    <row r="77" x14ac:dyDescent="0.4"/>
    <row r="78" x14ac:dyDescent="0.4"/>
    <row r="79" x14ac:dyDescent="0.4"/>
    <row r="80" x14ac:dyDescent="0.4"/>
    <row r="81" x14ac:dyDescent="0.4"/>
    <row r="82" x14ac:dyDescent="0.4"/>
    <row r="83" x14ac:dyDescent="0.4"/>
    <row r="84" x14ac:dyDescent="0.4"/>
    <row r="85" x14ac:dyDescent="0.4"/>
    <row r="86" x14ac:dyDescent="0.4"/>
    <row r="87" x14ac:dyDescent="0.4"/>
    <row r="88" x14ac:dyDescent="0.4"/>
    <row r="89" x14ac:dyDescent="0.4"/>
    <row r="90" x14ac:dyDescent="0.4"/>
    <row r="91" x14ac:dyDescent="0.4"/>
    <row r="92" x14ac:dyDescent="0.4"/>
    <row r="93" x14ac:dyDescent="0.4"/>
    <row r="94" x14ac:dyDescent="0.4"/>
    <row r="95" x14ac:dyDescent="0.4"/>
    <row r="96" x14ac:dyDescent="0.4"/>
    <row r="97" x14ac:dyDescent="0.4"/>
    <row r="98" x14ac:dyDescent="0.4"/>
    <row r="99" x14ac:dyDescent="0.4"/>
    <row r="100" x14ac:dyDescent="0.4"/>
    <row r="101" x14ac:dyDescent="0.4"/>
    <row r="102" x14ac:dyDescent="0.4"/>
    <row r="103" x14ac:dyDescent="0.4"/>
    <row r="104" x14ac:dyDescent="0.4"/>
    <row r="105" x14ac:dyDescent="0.4"/>
    <row r="106" x14ac:dyDescent="0.4"/>
    <row r="107" x14ac:dyDescent="0.4"/>
    <row r="108" x14ac:dyDescent="0.4"/>
    <row r="109" x14ac:dyDescent="0.4"/>
    <row r="110" x14ac:dyDescent="0.4"/>
    <row r="111" x14ac:dyDescent="0.4"/>
    <row r="112" x14ac:dyDescent="0.4"/>
    <row r="113" x14ac:dyDescent="0.4"/>
    <row r="114" x14ac:dyDescent="0.4"/>
    <row r="115" x14ac:dyDescent="0.4"/>
  </sheetData>
  <mergeCells count="1">
    <mergeCell ref="E4:F4"/>
  </mergeCells>
  <phoneticPr fontId="1" type="noConversion"/>
  <conditionalFormatting sqref="F5:F37">
    <cfRule type="containsText" dxfId="17" priority="1" operator="containsText" text="▼">
      <formula>NOT(ISERROR(SEARCH("▼",F5)))</formula>
    </cfRule>
    <cfRule type="containsText" dxfId="16" priority="2" operator="containsText" text="▲">
      <formula>NOT(ISERROR(SEARCH("▲",F5)))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執行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B0CA5-9B42-4D26-843D-B60CC88D4CDF}">
  <sheetPr codeName="工作表10">
    <tabColor rgb="FFFFC000"/>
  </sheetPr>
  <dimension ref="A1:AA63"/>
  <sheetViews>
    <sheetView zoomScale="65" zoomScaleNormal="65" workbookViewId="0">
      <selection activeCell="C70" sqref="C70"/>
    </sheetView>
  </sheetViews>
  <sheetFormatPr defaultColWidth="9" defaultRowHeight="17" x14ac:dyDescent="0.4"/>
  <cols>
    <col min="1" max="2" width="9" style="32"/>
    <col min="3" max="3" width="10.1796875" style="32" bestFit="1" customWidth="1"/>
    <col min="4" max="4" width="9.36328125" style="32" bestFit="1" customWidth="1"/>
    <col min="5" max="6" width="9" style="32"/>
    <col min="7" max="7" width="12.26953125" style="32" bestFit="1" customWidth="1"/>
    <col min="8" max="8" width="9.36328125" style="32" bestFit="1" customWidth="1"/>
    <col min="9" max="9" width="9" style="32"/>
    <col min="10" max="10" width="10.26953125" style="32" bestFit="1" customWidth="1"/>
    <col min="11" max="11" width="12.26953125" style="32" bestFit="1" customWidth="1"/>
    <col min="12" max="12" width="9" style="32"/>
    <col min="13" max="13" width="12.08984375" style="32" bestFit="1" customWidth="1"/>
    <col min="14" max="14" width="9" style="32"/>
    <col min="15" max="15" width="15.36328125" style="32" customWidth="1"/>
    <col min="16" max="16" width="9" style="32"/>
    <col min="17" max="18" width="10" style="32" bestFit="1" customWidth="1"/>
    <col min="19" max="19" width="11.26953125" style="32" bestFit="1" customWidth="1"/>
    <col min="20" max="20" width="9.36328125" style="32" bestFit="1" customWidth="1"/>
    <col min="21" max="22" width="10" style="32" bestFit="1" customWidth="1"/>
    <col min="23" max="23" width="12.26953125" style="32" bestFit="1" customWidth="1"/>
    <col min="24" max="24" width="11" style="32" bestFit="1" customWidth="1"/>
    <col min="25" max="25" width="13.08984375" style="32" bestFit="1" customWidth="1"/>
    <col min="26" max="26" width="9" style="32"/>
    <col min="27" max="27" width="15.453125" style="32" customWidth="1"/>
    <col min="28" max="16384" width="9" style="32"/>
  </cols>
  <sheetData>
    <row r="1" spans="2:27" ht="17.5" thickBot="1" x14ac:dyDescent="0.45">
      <c r="B1" s="30" t="s">
        <v>173</v>
      </c>
      <c r="C1" s="119" t="str">
        <f>對照日整理選擇權報價!A2</f>
        <v>202110W2</v>
      </c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</row>
    <row r="2" spans="2:27" ht="17.5" thickBot="1" x14ac:dyDescent="0.45">
      <c r="B2" s="95" t="s">
        <v>174</v>
      </c>
      <c r="C2" s="96"/>
      <c r="D2" s="101" t="s">
        <v>175</v>
      </c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P2" s="104" t="s">
        <v>176</v>
      </c>
      <c r="Q2" s="105"/>
      <c r="R2" s="105"/>
      <c r="S2" s="105"/>
      <c r="T2" s="105"/>
      <c r="U2" s="105"/>
      <c r="V2" s="105"/>
      <c r="W2" s="105"/>
      <c r="X2" s="105"/>
      <c r="Y2" s="105"/>
      <c r="Z2" s="106"/>
      <c r="AA2" s="107"/>
    </row>
    <row r="3" spans="2:27" ht="17.5" thickBot="1" x14ac:dyDescent="0.45">
      <c r="B3" s="97"/>
      <c r="C3" s="98"/>
      <c r="D3" s="101" t="s">
        <v>177</v>
      </c>
      <c r="E3" s="102"/>
      <c r="F3" s="102"/>
      <c r="G3" s="103"/>
      <c r="H3" s="101" t="s">
        <v>178</v>
      </c>
      <c r="I3" s="102"/>
      <c r="J3" s="102"/>
      <c r="K3" s="103"/>
      <c r="L3" s="101" t="s">
        <v>179</v>
      </c>
      <c r="M3" s="108"/>
      <c r="N3" s="33"/>
      <c r="O3" s="34"/>
      <c r="P3" s="104" t="s">
        <v>177</v>
      </c>
      <c r="Q3" s="105"/>
      <c r="R3" s="105"/>
      <c r="S3" s="109"/>
      <c r="T3" s="104" t="s">
        <v>178</v>
      </c>
      <c r="U3" s="105"/>
      <c r="V3" s="105"/>
      <c r="W3" s="109"/>
      <c r="X3" s="104" t="s">
        <v>179</v>
      </c>
      <c r="Y3" s="109"/>
      <c r="Z3" s="104"/>
      <c r="AA3" s="109"/>
    </row>
    <row r="4" spans="2:27" ht="17.5" thickBot="1" x14ac:dyDescent="0.45">
      <c r="B4" s="99"/>
      <c r="C4" s="100"/>
      <c r="D4" s="80" t="s">
        <v>36</v>
      </c>
      <c r="E4" s="81" t="s">
        <v>180</v>
      </c>
      <c r="F4" s="116" t="s">
        <v>181</v>
      </c>
      <c r="G4" s="82" t="s">
        <v>182</v>
      </c>
      <c r="H4" s="80" t="s">
        <v>36</v>
      </c>
      <c r="I4" s="81" t="s">
        <v>180</v>
      </c>
      <c r="J4" s="116" t="s">
        <v>181</v>
      </c>
      <c r="K4" s="82" t="s">
        <v>182</v>
      </c>
      <c r="L4" s="80" t="s">
        <v>36</v>
      </c>
      <c r="M4" s="82" t="s">
        <v>182</v>
      </c>
      <c r="N4" s="80" t="s">
        <v>183</v>
      </c>
      <c r="O4" s="82" t="s">
        <v>184</v>
      </c>
      <c r="P4" s="83" t="s">
        <v>36</v>
      </c>
      <c r="Q4" s="84" t="s">
        <v>180</v>
      </c>
      <c r="R4" s="84" t="s">
        <v>181</v>
      </c>
      <c r="S4" s="85" t="s">
        <v>182</v>
      </c>
      <c r="T4" s="83" t="s">
        <v>36</v>
      </c>
      <c r="U4" s="84" t="s">
        <v>180</v>
      </c>
      <c r="V4" s="84" t="s">
        <v>181</v>
      </c>
      <c r="W4" s="85" t="s">
        <v>182</v>
      </c>
      <c r="X4" s="83" t="s">
        <v>36</v>
      </c>
      <c r="Y4" s="85" t="s">
        <v>182</v>
      </c>
      <c r="Z4" s="83" t="s">
        <v>183</v>
      </c>
      <c r="AA4" s="85" t="s">
        <v>184</v>
      </c>
    </row>
    <row r="5" spans="2:27" ht="16.5" customHeight="1" x14ac:dyDescent="0.4">
      <c r="B5" s="113" t="s">
        <v>185</v>
      </c>
      <c r="C5" s="79" t="s">
        <v>186</v>
      </c>
      <c r="D5" s="37">
        <f>對照日選擇權三大法人!E4</f>
        <v>200086</v>
      </c>
      <c r="E5" s="38">
        <f>IF(ISERROR(對照日彙整!G5*1000/對照日彙整!D5/50),"",對照日彙整!G5*1000/對照日彙整!D5/50)</f>
        <v>38.329218436072487</v>
      </c>
      <c r="F5" s="38">
        <f>IF(E5="","",LOOKUP(1,0/FREQUENCY(0,(對照日整理選擇權報價!$C:$C-E5)^2),對照日整理選擇權報價!$B:$B))</f>
        <v>16300</v>
      </c>
      <c r="G5" s="39">
        <f>對照日選擇權三大法人!F4</f>
        <v>383457</v>
      </c>
      <c r="H5" s="37">
        <f>對照日選擇權三大法人!G4</f>
        <v>219055</v>
      </c>
      <c r="I5" s="38">
        <f>IF(ISERROR(對照日彙整!K5*1000/對照日彙整!H5/50),"",對照日彙整!K5*1000/對照日彙整!H5/50)</f>
        <v>32.174933235945311</v>
      </c>
      <c r="J5" s="38">
        <f>IF(I5="","",LOOKUP(1,0/FREQUENCY(0,(對照日整理選擇權報價!$C:$C-I5)^2),對照日整理選擇權報價!$B:$B))</f>
        <v>16300</v>
      </c>
      <c r="K5" s="39">
        <f>對照日選擇權三大法人!H4</f>
        <v>352404</v>
      </c>
      <c r="L5" s="37">
        <f>對照日選擇權三大法人!I4</f>
        <v>-18969</v>
      </c>
      <c r="M5" s="39">
        <f>對照日選擇權三大法人!J4</f>
        <v>31053</v>
      </c>
      <c r="N5" s="37">
        <f>IF(L5=0,"",IF(L5&gt;0,F5,J5))</f>
        <v>16300</v>
      </c>
      <c r="O5" s="40" t="str">
        <f>IF(L5=0,"",IF(L5&gt;0,"做多買進買權"&amp;F5,"做空賣出買權"&amp;J5))</f>
        <v>做空賣出買權16300</v>
      </c>
      <c r="P5" s="41">
        <f>對照日選擇權三大法人!K4</f>
        <v>58676</v>
      </c>
      <c r="Q5" s="42">
        <f>IF(ISERROR(對照日彙整!S5*1000/對照日彙整!P5/50),"",對照日彙整!S5*1000/對照日彙整!P5/50)</f>
        <v>58.472288499556889</v>
      </c>
      <c r="R5" s="42">
        <f>IF(Q5="","",LOOKUP(1,0/FREQUENCY(0,(對照日整理選擇權報價!$C:$C-Q5)^2),對照日整理選擇權報價!$B:$B))</f>
        <v>16250</v>
      </c>
      <c r="S5" s="43">
        <f>對照日選擇權三大法人!L4</f>
        <v>171546</v>
      </c>
      <c r="T5" s="41">
        <f>對照日選擇權三大法人!M4</f>
        <v>61968</v>
      </c>
      <c r="U5" s="42">
        <f>IF(ISERROR(對照日彙整!W5*1000/對照日彙整!T5/50),"",對照日彙整!W5*1000/對照日彙整!T5/50)</f>
        <v>33.954944487477412</v>
      </c>
      <c r="V5" s="42">
        <f>IF(U5="","",LOOKUP(1,0/FREQUENCY(0,(對照日整理選擇權報價!$C:$C-U5)^2),對照日整理選擇權報價!$B:$B))</f>
        <v>16300</v>
      </c>
      <c r="W5" s="43">
        <f>對照日選擇權三大法人!N4</f>
        <v>105206</v>
      </c>
      <c r="X5" s="41">
        <f>對照日選擇權三大法人!O4</f>
        <v>-3292</v>
      </c>
      <c r="Y5" s="43">
        <f>對照日選擇權三大法人!P4</f>
        <v>66340</v>
      </c>
      <c r="Z5" s="41">
        <f>IF(X5=0,"",IF(X5&gt;0,R5,V5))</f>
        <v>16300</v>
      </c>
      <c r="AA5" s="44" t="str">
        <f>IF(X5=0,"",IF(X5&gt;0,"做多買進買權"&amp;R5,"做空賣出買權"&amp;V5))</f>
        <v>做空賣出買權16300</v>
      </c>
    </row>
    <row r="6" spans="2:27" x14ac:dyDescent="0.4">
      <c r="B6" s="114"/>
      <c r="C6" s="63" t="s">
        <v>187</v>
      </c>
      <c r="D6" s="46">
        <f>對照日選擇權三大法人!B5</f>
        <v>0</v>
      </c>
      <c r="E6" s="47" t="str">
        <f>IF(ISERROR(對照日彙整!G6*1000/對照日彙整!D6/50),"",對照日彙整!G6*1000/對照日彙整!D6/50)</f>
        <v/>
      </c>
      <c r="F6" s="117" t="str">
        <f>IF(E6="","",LOOKUP(1,0/FREQUENCY(0,(對照日整理選擇權報價!$C:$C-E6)^2),對照日整理選擇權報價!$B:$B))</f>
        <v/>
      </c>
      <c r="G6" s="48">
        <f>對照日選擇權三大法人!C5</f>
        <v>0</v>
      </c>
      <c r="H6" s="46">
        <f>對照日選擇權三大法人!D5</f>
        <v>0</v>
      </c>
      <c r="I6" s="47" t="str">
        <f>IF(ISERROR(對照日彙整!K6*1000/對照日彙整!H6/50),"",對照日彙整!K6*1000/對照日彙整!H6/50)</f>
        <v/>
      </c>
      <c r="J6" s="117" t="str">
        <f>IF(I6="","",LOOKUP(1,0/FREQUENCY(0,(對照日整理選擇權報價!$C:$C-I6)^2),對照日整理選擇權報價!$B:$B))</f>
        <v/>
      </c>
      <c r="K6" s="48">
        <f>對照日選擇權三大法人!E5</f>
        <v>0</v>
      </c>
      <c r="L6" s="46">
        <f>對照日選擇權三大法人!F5</f>
        <v>0</v>
      </c>
      <c r="M6" s="48">
        <f>對照日選擇權三大法人!G5</f>
        <v>0</v>
      </c>
      <c r="N6" s="46" t="str">
        <f t="shared" ref="N6:N7" si="0">IF(L6=0,"",IF(L6&gt;0,F6,J6))</f>
        <v/>
      </c>
      <c r="O6" s="49" t="str">
        <f t="shared" ref="O6:O7" si="1">IF(L6=0,"",IF(L6&gt;0,"做多買進買權"&amp;F6,"做空賣出買權"&amp;J6))</f>
        <v/>
      </c>
      <c r="P6" s="50">
        <f>對照日選擇權三大法人!H5</f>
        <v>0</v>
      </c>
      <c r="Q6" s="35" t="str">
        <f>IF(ISERROR(對照日彙整!S6*1000/對照日彙整!P6/50),"",對照日彙整!S6*1000/對照日彙整!P6/50)</f>
        <v/>
      </c>
      <c r="R6" s="118" t="str">
        <f>IF(Q6="","",LOOKUP(1,0/FREQUENCY(0,(對照日整理選擇權報價!$C:$C-Q6)^2),對照日整理選擇權報價!$B:$B))</f>
        <v/>
      </c>
      <c r="S6" s="51">
        <f>對照日選擇權三大法人!I5</f>
        <v>0</v>
      </c>
      <c r="T6" s="50">
        <f>對照日選擇權三大法人!J5</f>
        <v>0</v>
      </c>
      <c r="U6" s="35" t="str">
        <f>IF(ISERROR(對照日彙整!W6*1000/對照日彙整!T6/50),"",對照日彙整!W6*1000/對照日彙整!T6/50)</f>
        <v/>
      </c>
      <c r="V6" s="118" t="str">
        <f>IF(U6="","",LOOKUP(1,0/FREQUENCY(0,(對照日整理選擇權報價!$C:$C-U6)^2),對照日整理選擇權報價!$B:$B))</f>
        <v/>
      </c>
      <c r="W6" s="51">
        <f>對照日選擇權三大法人!K5</f>
        <v>0</v>
      </c>
      <c r="X6" s="50">
        <f>對照日選擇權三大法人!L5</f>
        <v>0</v>
      </c>
      <c r="Y6" s="51">
        <f>對照日選擇權三大法人!M5</f>
        <v>0</v>
      </c>
      <c r="Z6" s="50" t="str">
        <f t="shared" ref="Z6:Z7" si="2">IF(X6=0,"",IF(X6&gt;0,R6,V6))</f>
        <v/>
      </c>
      <c r="AA6" s="52" t="str">
        <f t="shared" ref="AA6:AA7" si="3">IF(X6=0,"",IF(X6&gt;0,"做多買進買權"&amp;R6,"做空賣出買權"&amp;V6))</f>
        <v/>
      </c>
    </row>
    <row r="7" spans="2:27" ht="17.5" thickBot="1" x14ac:dyDescent="0.45">
      <c r="B7" s="115"/>
      <c r="C7" s="80" t="s">
        <v>188</v>
      </c>
      <c r="D7" s="54">
        <f>對照日選擇權三大法人!B6</f>
        <v>117662</v>
      </c>
      <c r="E7" s="55">
        <f>IF(ISERROR(對照日彙整!G7*1000/對照日彙整!D7/50),"",對照日彙整!G7*1000/對照日彙整!D7/50)</f>
        <v>59.322126089986568</v>
      </c>
      <c r="F7" s="55">
        <f>IF(E7="","",LOOKUP(1,0/FREQUENCY(0,(對照日整理選擇權報價!$C:$C-E7)^2),對照日整理選擇權報價!$B:$B))</f>
        <v>16250</v>
      </c>
      <c r="G7" s="56">
        <f>對照日選擇權三大法人!C6</f>
        <v>348998</v>
      </c>
      <c r="H7" s="54">
        <f>對照日選擇權三大法人!D6</f>
        <v>115544</v>
      </c>
      <c r="I7" s="55">
        <f>IF(ISERROR(對照日彙整!K7*1000/對照日彙整!H7/50),"",對照日彙整!K7*1000/對照日彙整!H7/50)</f>
        <v>65.179498719102682</v>
      </c>
      <c r="J7" s="55">
        <f>IF(I7="","",LOOKUP(1,0/FREQUENCY(0,(對照日整理選擇權報價!$C:$C-I7)^2),對照日整理選擇權報價!$B:$B))</f>
        <v>16250</v>
      </c>
      <c r="K7" s="56">
        <f>對照日選擇權三大法人!E6</f>
        <v>376555</v>
      </c>
      <c r="L7" s="54">
        <f>對照日選擇權三大法人!F6</f>
        <v>2118</v>
      </c>
      <c r="M7" s="56">
        <f>對照日選擇權三大法人!G6</f>
        <v>-27557</v>
      </c>
      <c r="N7" s="54">
        <f t="shared" si="0"/>
        <v>16250</v>
      </c>
      <c r="O7" s="57" t="str">
        <f t="shared" si="1"/>
        <v>做多買進買權16250</v>
      </c>
      <c r="P7" s="58">
        <f>對照日選擇權三大法人!H6</f>
        <v>36895</v>
      </c>
      <c r="Q7" s="59">
        <f>IF(ISERROR(對照日彙整!S7*1000/對照日彙整!P7/50),"",對照日彙整!S7*1000/對照日彙整!P7/50)</f>
        <v>53.772055834123869</v>
      </c>
      <c r="R7" s="59">
        <f>IF(Q7="","",LOOKUP(1,0/FREQUENCY(0,(對照日整理選擇權報價!$C:$C-Q7)^2),對照日整理選擇權報價!$B:$B))</f>
        <v>16250</v>
      </c>
      <c r="S7" s="60">
        <f>對照日選擇權三大法人!I6</f>
        <v>99196</v>
      </c>
      <c r="T7" s="58">
        <f>對照日選擇權三大法人!J6</f>
        <v>31152</v>
      </c>
      <c r="U7" s="59">
        <f>IF(ISERROR(對照日彙整!W7*1000/對照日彙整!T7/50),"",對照日彙整!W7*1000/對照日彙整!T7/50)</f>
        <v>91.321263482280429</v>
      </c>
      <c r="V7" s="59">
        <f>IF(U7="","",LOOKUP(1,0/FREQUENCY(0,(對照日整理選擇權報價!$C:$C-U7)^2),對照日整理選擇權報價!$B:$B))</f>
        <v>16250</v>
      </c>
      <c r="W7" s="60">
        <f>對照日選擇權三大法人!K6</f>
        <v>142242</v>
      </c>
      <c r="X7" s="58">
        <f>對照日選擇權三大法人!L6</f>
        <v>5743</v>
      </c>
      <c r="Y7" s="60">
        <f>對照日選擇權三大法人!M6</f>
        <v>-43046</v>
      </c>
      <c r="Z7" s="58">
        <f t="shared" si="2"/>
        <v>16250</v>
      </c>
      <c r="AA7" s="61" t="str">
        <f t="shared" si="3"/>
        <v>做多買進買權16250</v>
      </c>
    </row>
    <row r="8" spans="2:27" ht="16.5" customHeight="1" x14ac:dyDescent="0.4">
      <c r="B8" s="113" t="s">
        <v>189</v>
      </c>
      <c r="C8" s="79" t="s">
        <v>186</v>
      </c>
      <c r="D8" s="37">
        <f>對照日選擇權三大法人!C7</f>
        <v>176874</v>
      </c>
      <c r="E8" s="38">
        <f>IF(ISERROR(對照日彙整!G8*1000/對照日彙整!D8/50),"",對照日彙整!G8*1000/對照日彙整!D8/50)</f>
        <v>44.635164015061576</v>
      </c>
      <c r="F8" s="117">
        <f>IF(E8="","",LOOKUP(1,0/FREQUENCY(0,(對照日整理選擇權報價!$G:$G-E8)^2),對照日整理選擇權報價!$B:$B))</f>
        <v>16350</v>
      </c>
      <c r="G8" s="39">
        <f>對照日選擇權三大法人!D7</f>
        <v>394740</v>
      </c>
      <c r="H8" s="37">
        <f>對照日選擇權三大法人!E7</f>
        <v>178451</v>
      </c>
      <c r="I8" s="38">
        <f>IF(ISERROR(對照日彙整!K8*1000/對照日彙整!H8/50),"",對照日彙整!K8*1000/對照日彙整!H8/50)</f>
        <v>42.02845599072014</v>
      </c>
      <c r="J8" s="117">
        <f>IF(I8="","",LOOKUP(1,0/FREQUENCY(0,(對照日整理選擇權報價!$G:$G-I8)^2),對照日整理選擇權報價!$B:$B))</f>
        <v>16350</v>
      </c>
      <c r="K8" s="39">
        <f>對照日選擇權三大法人!F7</f>
        <v>375001</v>
      </c>
      <c r="L8" s="37">
        <f>對照日選擇權三大法人!G7</f>
        <v>-1577</v>
      </c>
      <c r="M8" s="39">
        <f>對照日選擇權三大法人!H7</f>
        <v>19739</v>
      </c>
      <c r="N8" s="37">
        <f>IF(L8=0,"",IF(L8&lt;0,J8,F8))</f>
        <v>16350</v>
      </c>
      <c r="O8" s="40" t="str">
        <f>IF(L8=0,"",IF(L8&lt;0,"做多賣出賣權"&amp;J8,"做空買進賣權"&amp;F8))</f>
        <v>做多賣出賣權16350</v>
      </c>
      <c r="P8" s="41">
        <f>對照日選擇權三大法人!I7</f>
        <v>54775</v>
      </c>
      <c r="Q8" s="42">
        <f>IF(ISERROR(對照日彙整!S8*1000/對照日彙整!P8/50),"",對照日彙整!S8*1000/對照日彙整!P8/50)</f>
        <v>230.36202647193062</v>
      </c>
      <c r="R8" s="118">
        <f>IF(Q8="","",LOOKUP(1,0/FREQUENCY(0,(對照日整理選擇權報價!$G:$G-Q8)^2),對照日整理選擇權報價!$B:$B))</f>
        <v>16550</v>
      </c>
      <c r="S8" s="43">
        <f>對照日選擇權三大法人!J7</f>
        <v>630904</v>
      </c>
      <c r="T8" s="41">
        <f>對照日選擇權三大法人!K7</f>
        <v>48375</v>
      </c>
      <c r="U8" s="42">
        <f>IF(ISERROR(對照日彙整!W8*1000/對照日彙整!T8/50),"",對照日彙整!W8*1000/對照日彙整!T8/50)</f>
        <v>270.95896640826874</v>
      </c>
      <c r="V8" s="118">
        <f>IF(U8="","",LOOKUP(1,0/FREQUENCY(0,(對照日整理選擇權報價!$G:$G-U8)^2),對照日整理選擇權報價!$B:$B))</f>
        <v>16600</v>
      </c>
      <c r="W8" s="43">
        <f>對照日選擇權三大法人!L7</f>
        <v>655382</v>
      </c>
      <c r="X8" s="41">
        <f>對照日選擇權三大法人!M7</f>
        <v>6400</v>
      </c>
      <c r="Y8" s="43">
        <f>對照日選擇權三大法人!N7</f>
        <v>-24478</v>
      </c>
      <c r="Z8" s="41">
        <f>IF(X8=0,"",IF(X8&lt;0,V8,R8))</f>
        <v>16550</v>
      </c>
      <c r="AA8" s="44" t="str">
        <f>IF(X8=0,"",IF(X8&lt;0,"做多賣出賣權"&amp;V8,"做空買進賣權"&amp;R8))</f>
        <v>做空買進賣權16550</v>
      </c>
    </row>
    <row r="9" spans="2:27" x14ac:dyDescent="0.4">
      <c r="B9" s="114"/>
      <c r="C9" s="63" t="s">
        <v>187</v>
      </c>
      <c r="D9" s="46">
        <f>對照日選擇權三大法人!B8</f>
        <v>8</v>
      </c>
      <c r="E9" s="47">
        <f>IF(ISERROR(對照日彙整!G9*1000/對照日彙整!D9/50),"",對照日彙整!G9*1000/對照日彙整!D9/50)</f>
        <v>0</v>
      </c>
      <c r="F9" s="117" t="str">
        <f>IF(E9="","",LOOKUP(1,0/FREQUENCY(0,(對照日整理選擇權報價!$G:$G-E9)^2),對照日整理選擇權報價!$B:$B))</f>
        <v>Call 履約價</v>
      </c>
      <c r="G9" s="48">
        <f>對照日選擇權三大法人!C8</f>
        <v>0</v>
      </c>
      <c r="H9" s="46">
        <f>對照日選擇權三大法人!D8</f>
        <v>8</v>
      </c>
      <c r="I9" s="47">
        <f>IF(ISERROR(對照日彙整!K9*1000/對照日彙整!H9/50),"",對照日彙整!K9*1000/對照日彙整!H9/50)</f>
        <v>95</v>
      </c>
      <c r="J9" s="117">
        <f>IF(I9="","",LOOKUP(1,0/FREQUENCY(0,(對照日整理選擇權報價!$G:$G-I9)^2),對照日整理選擇權報價!$B:$B))</f>
        <v>16400</v>
      </c>
      <c r="K9" s="48">
        <f>對照日選擇權三大法人!E8</f>
        <v>38</v>
      </c>
      <c r="L9" s="46">
        <f>對照日選擇權三大法人!F8</f>
        <v>0</v>
      </c>
      <c r="M9" s="48">
        <f>對照日選擇權三大法人!G8</f>
        <v>-37</v>
      </c>
      <c r="N9" s="46" t="str">
        <f t="shared" ref="N9:N10" si="4">IF(L9=0,"",IF(L9&lt;0,J9,F9))</f>
        <v/>
      </c>
      <c r="O9" s="49" t="str">
        <f t="shared" ref="O9:O10" si="5">IF(L9=0,"",IF(L9&lt;0,"做多賣出賣權"&amp;J9,"做空買進賣權"&amp;F9))</f>
        <v/>
      </c>
      <c r="P9" s="50">
        <f>對照日選擇權三大法人!H8</f>
        <v>0</v>
      </c>
      <c r="Q9" s="35" t="str">
        <f>IF(ISERROR(對照日彙整!S9*1000/對照日彙整!P9/50),"",對照日彙整!S9*1000/對照日彙整!P9/50)</f>
        <v/>
      </c>
      <c r="R9" s="118" t="str">
        <f>IF(Q9="","",LOOKUP(1,0/FREQUENCY(0,(對照日整理選擇權報價!$G:$G-Q9)^2),對照日整理選擇權報價!$B:$B))</f>
        <v/>
      </c>
      <c r="S9" s="51">
        <f>對照日選擇權三大法人!I8</f>
        <v>0</v>
      </c>
      <c r="T9" s="50">
        <f>對照日選擇權三大法人!J8</f>
        <v>59</v>
      </c>
      <c r="U9" s="35">
        <f>IF(ISERROR(對照日彙整!W9*1000/對照日彙整!T9/50),"",對照日彙整!W9*1000/對照日彙整!T9/50)</f>
        <v>918.30508474576277</v>
      </c>
      <c r="V9" s="118">
        <f>IF(U9="","",LOOKUP(1,0/FREQUENCY(0,(對照日整理選擇權報價!$G:$G-U9)^2),對照日整理選擇權報價!$B:$B))</f>
        <v>17200</v>
      </c>
      <c r="W9" s="51">
        <f>對照日選擇權三大法人!K8</f>
        <v>2709</v>
      </c>
      <c r="X9" s="50">
        <f>對照日選擇權三大法人!L8</f>
        <v>-59</v>
      </c>
      <c r="Y9" s="51">
        <f>對照日選擇權三大法人!M8</f>
        <v>-2709</v>
      </c>
      <c r="Z9" s="50">
        <f t="shared" ref="Z9:Z10" si="6">IF(X9=0,"",IF(X9&lt;0,V9,R9))</f>
        <v>17200</v>
      </c>
      <c r="AA9" s="52" t="str">
        <f t="shared" ref="AA9:AA10" si="7">IF(X9=0,"",IF(X9&lt;0,"做多賣出賣權"&amp;V9,"做空買進賣權"&amp;R9))</f>
        <v>做多賣出賣權17200</v>
      </c>
    </row>
    <row r="10" spans="2:27" ht="17.5" thickBot="1" x14ac:dyDescent="0.45">
      <c r="B10" s="115"/>
      <c r="C10" s="80" t="s">
        <v>188</v>
      </c>
      <c r="D10" s="54">
        <f>對照日選擇權三大法人!B9</f>
        <v>130014</v>
      </c>
      <c r="E10" s="55">
        <f>IF(ISERROR(對照日彙整!G10*1000/對照日彙整!D10/50),"",對照日彙整!G10*1000/對照日彙整!D10/50)</f>
        <v>64.718414939929545</v>
      </c>
      <c r="F10" s="55">
        <f>IF(E10="","",LOOKUP(1,0/FREQUENCY(0,(對照日整理選擇權報價!$G:$G-E10)^2),對照日整理選擇權報價!$B:$B))</f>
        <v>16400</v>
      </c>
      <c r="G10" s="56">
        <f>對照日選擇權三大法人!C9</f>
        <v>420715</v>
      </c>
      <c r="H10" s="54">
        <f>對照日選擇權三大法人!D9</f>
        <v>128190</v>
      </c>
      <c r="I10" s="55">
        <f>IF(ISERROR(對照日彙整!K10*1000/對照日彙整!H10/50),"",對照日彙整!K10*1000/對照日彙整!H10/50)</f>
        <v>64.629066229815123</v>
      </c>
      <c r="J10" s="55">
        <f>IF(I10="","",LOOKUP(1,0/FREQUENCY(0,(對照日整理選擇權報價!$G:$G-I10)^2),對照日整理選擇權報價!$B:$B))</f>
        <v>16400</v>
      </c>
      <c r="K10" s="56">
        <f>對照日選擇權三大法人!E9</f>
        <v>414240</v>
      </c>
      <c r="L10" s="54">
        <f>對照日選擇權三大法人!F9</f>
        <v>1824</v>
      </c>
      <c r="M10" s="56">
        <f>對照日選擇權三大法人!G9</f>
        <v>6475</v>
      </c>
      <c r="N10" s="54">
        <f t="shared" si="4"/>
        <v>16400</v>
      </c>
      <c r="O10" s="57" t="str">
        <f t="shared" si="5"/>
        <v>做空買進賣權16400</v>
      </c>
      <c r="P10" s="58">
        <f>對照日選擇權三大法人!H9</f>
        <v>99299</v>
      </c>
      <c r="Q10" s="59">
        <f>IF(ISERROR(對照日彙整!S10*1000/對照日彙整!P10/50),"",對照日彙整!S10*1000/對照日彙整!P10/50)</f>
        <v>315.63943242127311</v>
      </c>
      <c r="R10" s="59">
        <f>IF(Q10="","",LOOKUP(1,0/FREQUENCY(0,(對照日整理選擇權報價!$G:$G-Q10)^2),對照日整理選擇權報價!$B:$B))</f>
        <v>16650</v>
      </c>
      <c r="S10" s="60">
        <f>對照日選擇權三大法人!I9</f>
        <v>1567134</v>
      </c>
      <c r="T10" s="58">
        <f>對照日選擇權三大法人!J9</f>
        <v>62375</v>
      </c>
      <c r="U10" s="59">
        <f>IF(ISERROR(對照日彙整!W10*1000/對照日彙整!T10/50),"",對照日彙整!W10*1000/對照日彙整!T10/50)</f>
        <v>487.23206412825652</v>
      </c>
      <c r="V10" s="59">
        <f>IF(U10="","",LOOKUP(1,0/FREQUENCY(0,(對照日整理選擇權報價!$G:$G-U10)^2),對照日整理選擇權報價!$B:$B))</f>
        <v>16800</v>
      </c>
      <c r="W10" s="60">
        <f>對照日選擇權三大法人!K9</f>
        <v>1519555</v>
      </c>
      <c r="X10" s="58">
        <f>對照日選擇權三大法人!L9</f>
        <v>36924</v>
      </c>
      <c r="Y10" s="60">
        <f>對照日選擇權三大法人!M9</f>
        <v>47579</v>
      </c>
      <c r="Z10" s="58">
        <f t="shared" si="6"/>
        <v>16650</v>
      </c>
      <c r="AA10" s="61" t="str">
        <f t="shared" si="7"/>
        <v>做空買進賣權16650</v>
      </c>
    </row>
    <row r="11" spans="2:27" ht="17.5" thickBot="1" x14ac:dyDescent="0.45"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</row>
    <row r="12" spans="2:27" ht="17.5" thickBot="1" x14ac:dyDescent="0.45">
      <c r="B12" s="95" t="s">
        <v>190</v>
      </c>
      <c r="C12" s="96"/>
      <c r="D12" s="101" t="s">
        <v>175</v>
      </c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3"/>
      <c r="P12" s="104" t="s">
        <v>31</v>
      </c>
      <c r="Q12" s="105"/>
      <c r="R12" s="105"/>
      <c r="S12" s="105"/>
      <c r="T12" s="105"/>
      <c r="U12" s="105"/>
      <c r="V12" s="105"/>
      <c r="W12" s="105"/>
      <c r="X12" s="105"/>
      <c r="Y12" s="105"/>
      <c r="Z12" s="106"/>
      <c r="AA12" s="107"/>
    </row>
    <row r="13" spans="2:27" ht="17.5" thickBot="1" x14ac:dyDescent="0.45">
      <c r="B13" s="97"/>
      <c r="C13" s="98"/>
      <c r="D13" s="101" t="s">
        <v>177</v>
      </c>
      <c r="E13" s="102"/>
      <c r="F13" s="102"/>
      <c r="G13" s="103"/>
      <c r="H13" s="101" t="s">
        <v>178</v>
      </c>
      <c r="I13" s="102"/>
      <c r="J13" s="102"/>
      <c r="K13" s="103"/>
      <c r="L13" s="101" t="s">
        <v>179</v>
      </c>
      <c r="M13" s="108"/>
      <c r="N13" s="33"/>
      <c r="O13" s="34"/>
      <c r="P13" s="104" t="s">
        <v>177</v>
      </c>
      <c r="Q13" s="105"/>
      <c r="R13" s="105"/>
      <c r="S13" s="109"/>
      <c r="T13" s="104" t="s">
        <v>178</v>
      </c>
      <c r="U13" s="105"/>
      <c r="V13" s="105"/>
      <c r="W13" s="109"/>
      <c r="X13" s="104" t="s">
        <v>179</v>
      </c>
      <c r="Y13" s="109"/>
      <c r="Z13" s="104"/>
      <c r="AA13" s="109"/>
    </row>
    <row r="14" spans="2:27" ht="17.5" thickBot="1" x14ac:dyDescent="0.45">
      <c r="B14" s="99"/>
      <c r="C14" s="100"/>
      <c r="D14" s="63" t="s">
        <v>36</v>
      </c>
      <c r="E14" s="64" t="s">
        <v>191</v>
      </c>
      <c r="F14" s="64" t="s">
        <v>192</v>
      </c>
      <c r="G14" s="65" t="s">
        <v>182</v>
      </c>
      <c r="H14" s="63" t="s">
        <v>36</v>
      </c>
      <c r="I14" s="64" t="s">
        <v>191</v>
      </c>
      <c r="J14" s="64" t="s">
        <v>192</v>
      </c>
      <c r="K14" s="65" t="s">
        <v>182</v>
      </c>
      <c r="L14" s="63" t="s">
        <v>36</v>
      </c>
      <c r="M14" s="65" t="s">
        <v>182</v>
      </c>
      <c r="N14" s="80" t="s">
        <v>183</v>
      </c>
      <c r="O14" s="82" t="s">
        <v>184</v>
      </c>
      <c r="P14" s="66" t="s">
        <v>36</v>
      </c>
      <c r="Q14" s="67" t="s">
        <v>191</v>
      </c>
      <c r="R14" s="67" t="s">
        <v>192</v>
      </c>
      <c r="S14" s="68" t="s">
        <v>182</v>
      </c>
      <c r="T14" s="66" t="s">
        <v>36</v>
      </c>
      <c r="U14" s="67" t="s">
        <v>191</v>
      </c>
      <c r="V14" s="67" t="s">
        <v>192</v>
      </c>
      <c r="W14" s="68" t="s">
        <v>182</v>
      </c>
      <c r="X14" s="66" t="s">
        <v>36</v>
      </c>
      <c r="Y14" s="68" t="s">
        <v>182</v>
      </c>
      <c r="Z14" s="66" t="s">
        <v>183</v>
      </c>
      <c r="AA14" s="68" t="s">
        <v>184</v>
      </c>
    </row>
    <row r="15" spans="2:27" ht="16.5" customHeight="1" x14ac:dyDescent="0.4">
      <c r="B15" s="110" t="s">
        <v>190</v>
      </c>
      <c r="C15" s="79" t="s">
        <v>186</v>
      </c>
      <c r="D15" s="36">
        <f>對照日期貨三大法人!D4</f>
        <v>11164</v>
      </c>
      <c r="E15" s="69">
        <v>200</v>
      </c>
      <c r="F15" s="69">
        <f>IF(ISERROR(G15*1000/D15/E15),"",G15*1000/D15/E15)</f>
        <v>16428.40782873522</v>
      </c>
      <c r="G15" s="40">
        <f>對照日期貨三大法人!E4</f>
        <v>36681349</v>
      </c>
      <c r="H15" s="69">
        <f>對照日期貨三大法人!F4</f>
        <v>11566</v>
      </c>
      <c r="I15" s="69">
        <v>200</v>
      </c>
      <c r="J15" s="69">
        <f>IF(ISERROR(K15*1000/H15/I15),"",K15*1000/H15/I15)</f>
        <v>16431.975185889678</v>
      </c>
      <c r="K15" s="69">
        <f>對照日期貨三大法人!G4</f>
        <v>38010445</v>
      </c>
      <c r="L15" s="36">
        <f>對照日期貨三大法人!H4</f>
        <v>-402</v>
      </c>
      <c r="M15" s="40">
        <f>對照日期貨三大法人!I4</f>
        <v>-1329095</v>
      </c>
      <c r="N15" s="36">
        <f>IF(L15=0,"",IF(L15&gt;0,F15,J15))</f>
        <v>16431.975185889678</v>
      </c>
      <c r="O15" s="40" t="str">
        <f>IF(L15=0,"",IF(L15&gt;0,"做多期貨"&amp;TEXT(F15,0),"做空期貨"&amp;TEXT(J15,0)))</f>
        <v>做空期貨16432</v>
      </c>
      <c r="P15" s="70">
        <f>對照日期貨三大法人!J4</f>
        <v>21171</v>
      </c>
      <c r="Q15" s="70">
        <v>200</v>
      </c>
      <c r="R15" s="70">
        <f>IF(ISERROR(S15*1000/P15/Q15),"",S15*1000/P15/Q15)</f>
        <v>16292.015729063341</v>
      </c>
      <c r="S15" s="44">
        <f>對照日期貨三大法人!K4</f>
        <v>68983653</v>
      </c>
      <c r="T15" s="70">
        <f>對照日期貨三大法人!L4</f>
        <v>8356</v>
      </c>
      <c r="U15" s="70">
        <v>200</v>
      </c>
      <c r="V15" s="70">
        <f>IF(ISERROR(W15*1000/T15/U15),"",W15*1000/T15/U15)</f>
        <v>16288.851723312589</v>
      </c>
      <c r="W15" s="44">
        <f>對照日期貨三大法人!M4</f>
        <v>27221929</v>
      </c>
      <c r="X15" s="71">
        <f>對照日期貨三大法人!N4</f>
        <v>12815</v>
      </c>
      <c r="Y15" s="44">
        <f>對照日期貨三大法人!O4</f>
        <v>41761724</v>
      </c>
      <c r="Z15" s="71">
        <f>IF(X15=0,"",IF(X15&gt;0,R15,V15))</f>
        <v>16292.015729063341</v>
      </c>
      <c r="AA15" s="44" t="str">
        <f>IF(X15=0,"",IF(X15&gt;0,"做多期貨"&amp;TEXT(R15,0),"做空期貨"&amp;TEXT(V15,0)))</f>
        <v>做多期貨16292</v>
      </c>
    </row>
    <row r="16" spans="2:27" x14ac:dyDescent="0.4">
      <c r="B16" s="111"/>
      <c r="C16" s="63" t="s">
        <v>187</v>
      </c>
      <c r="D16" s="45">
        <f>對照日期貨三大法人!B5</f>
        <v>161</v>
      </c>
      <c r="E16" s="72">
        <v>200</v>
      </c>
      <c r="F16" s="72">
        <f t="shared" ref="F16:F62" si="8">IF(ISERROR(G16*1000/D16/E16),"",G16*1000/D16/E16)</f>
        <v>16330.683229813665</v>
      </c>
      <c r="G16" s="49">
        <f>對照日期貨三大法人!C5</f>
        <v>525848</v>
      </c>
      <c r="H16" s="72">
        <f>對照日期貨三大法人!D5</f>
        <v>282</v>
      </c>
      <c r="I16" s="72">
        <v>200</v>
      </c>
      <c r="J16" s="72">
        <f t="shared" ref="J16:J62" si="9">IF(ISERROR(K16*1000/H16/I16),"",K16*1000/H16/I16)</f>
        <v>16332.429078014184</v>
      </c>
      <c r="K16" s="72">
        <f>對照日期貨三大法人!E5</f>
        <v>921149</v>
      </c>
      <c r="L16" s="45">
        <f>對照日期貨三大法人!F5</f>
        <v>-121</v>
      </c>
      <c r="M16" s="49">
        <f>對照日期貨三大法人!G5</f>
        <v>-395301</v>
      </c>
      <c r="N16" s="45">
        <f t="shared" ref="N16:N62" si="10">IF(L16=0,"",IF(L16&gt;0,F16,J16))</f>
        <v>16332.429078014184</v>
      </c>
      <c r="O16" s="49" t="str">
        <f t="shared" ref="O16:O62" si="11">IF(L16=0,"",IF(L16&gt;0,"做多期貨"&amp;TEXT(F16,0),"做空期貨"&amp;TEXT(J16,0)))</f>
        <v>做空期貨16332</v>
      </c>
      <c r="P16" s="73">
        <f>對照日期貨三大法人!H5</f>
        <v>12747</v>
      </c>
      <c r="Q16" s="73">
        <v>200</v>
      </c>
      <c r="R16" s="73">
        <f t="shared" ref="R16:R62" si="12">IF(ISERROR(S16*1000/P16/Q16),"",S16*1000/P16/Q16)</f>
        <v>16320.999843100337</v>
      </c>
      <c r="S16" s="52">
        <f>對照日期貨三大法人!I5</f>
        <v>41608757</v>
      </c>
      <c r="T16" s="73">
        <f>對照日期貨三大法人!J5</f>
        <v>18099</v>
      </c>
      <c r="U16" s="73">
        <v>200</v>
      </c>
      <c r="V16" s="73">
        <f t="shared" ref="V16:V62" si="13">IF(ISERROR(W16*1000/T16/U16),"",W16*1000/T16/U16)</f>
        <v>16320.971324382561</v>
      </c>
      <c r="W16" s="52">
        <f>對照日期貨三大法人!K5</f>
        <v>59078652</v>
      </c>
      <c r="X16" s="74">
        <f>對照日期貨三大法人!L5</f>
        <v>-5352</v>
      </c>
      <c r="Y16" s="52">
        <f>對照日期貨三大法人!M5</f>
        <v>-17469895</v>
      </c>
      <c r="Z16" s="74">
        <f t="shared" ref="Z16:Z62" si="14">IF(X16=0,"",IF(X16&gt;0,R16,V16))</f>
        <v>16320.971324382561</v>
      </c>
      <c r="AA16" s="52" t="str">
        <f t="shared" ref="AA16:AA62" si="15">IF(X16=0,"",IF(X16&gt;0,"做多期貨"&amp;TEXT(R16,0),"做空期貨"&amp;TEXT(V16,0)))</f>
        <v>做空期貨16321</v>
      </c>
    </row>
    <row r="17" spans="2:27" ht="17.5" thickBot="1" x14ac:dyDescent="0.45">
      <c r="B17" s="112"/>
      <c r="C17" s="80" t="s">
        <v>188</v>
      </c>
      <c r="D17" s="53">
        <f>對照日期貨三大法人!B6</f>
        <v>62316</v>
      </c>
      <c r="E17" s="75">
        <v>200</v>
      </c>
      <c r="F17" s="75">
        <f t="shared" si="8"/>
        <v>16441.725800757427</v>
      </c>
      <c r="G17" s="57">
        <f>對照日期貨三大法人!C6</f>
        <v>204916517</v>
      </c>
      <c r="H17" s="75">
        <f>對照日期貨三大法人!D6</f>
        <v>65130</v>
      </c>
      <c r="I17" s="75">
        <v>200</v>
      </c>
      <c r="J17" s="75">
        <f t="shared" si="9"/>
        <v>16445.245816060189</v>
      </c>
      <c r="K17" s="75">
        <f>對照日期貨三大法人!E6</f>
        <v>214215772</v>
      </c>
      <c r="L17" s="53">
        <f>對照日期貨三大法人!F6</f>
        <v>-2814</v>
      </c>
      <c r="M17" s="57">
        <f>對照日期貨三大法人!G6</f>
        <v>-9299255</v>
      </c>
      <c r="N17" s="53">
        <f t="shared" si="10"/>
        <v>16445.245816060189</v>
      </c>
      <c r="O17" s="57" t="str">
        <f t="shared" si="11"/>
        <v>做空期貨16445</v>
      </c>
      <c r="P17" s="76">
        <f>對照日期貨三大法人!H6</f>
        <v>20524</v>
      </c>
      <c r="Q17" s="76">
        <v>200</v>
      </c>
      <c r="R17" s="76">
        <f t="shared" si="12"/>
        <v>16313.730267004483</v>
      </c>
      <c r="S17" s="61">
        <f>對照日期貨三大法人!I6</f>
        <v>66964600</v>
      </c>
      <c r="T17" s="76">
        <f>對照日期貨三大法人!J6</f>
        <v>38960</v>
      </c>
      <c r="U17" s="76">
        <v>200</v>
      </c>
      <c r="V17" s="76">
        <f t="shared" si="13"/>
        <v>16306.818916837783</v>
      </c>
      <c r="W17" s="61">
        <f>對照日期貨三大法人!K6</f>
        <v>127062733</v>
      </c>
      <c r="X17" s="77">
        <f>對照日期貨三大法人!L6</f>
        <v>-18436</v>
      </c>
      <c r="Y17" s="61">
        <f>對照日期貨三大法人!M6</f>
        <v>-60098133</v>
      </c>
      <c r="Z17" s="77">
        <f t="shared" si="14"/>
        <v>16306.818916837783</v>
      </c>
      <c r="AA17" s="61" t="str">
        <f t="shared" si="15"/>
        <v>做空期貨16307</v>
      </c>
    </row>
    <row r="18" spans="2:27" ht="16.5" customHeight="1" x14ac:dyDescent="0.4">
      <c r="B18" s="110" t="s">
        <v>193</v>
      </c>
      <c r="C18" s="79" t="s">
        <v>186</v>
      </c>
      <c r="D18" s="45">
        <f>對照日期貨三大法人!D7</f>
        <v>238</v>
      </c>
      <c r="E18" s="69">
        <v>4000</v>
      </c>
      <c r="F18" s="69">
        <f t="shared" si="8"/>
        <v>774.16911764705878</v>
      </c>
      <c r="G18" s="72">
        <f>對照日期貨三大法人!E7</f>
        <v>737009</v>
      </c>
      <c r="H18" s="36">
        <f>對照日期貨三大法人!F7</f>
        <v>268</v>
      </c>
      <c r="I18" s="69">
        <v>4000</v>
      </c>
      <c r="J18" s="69">
        <f t="shared" si="9"/>
        <v>773.91791044776119</v>
      </c>
      <c r="K18" s="69">
        <f>對照日期貨三大法人!G7</f>
        <v>829640</v>
      </c>
      <c r="L18" s="36">
        <f>對照日期貨三大法人!H7</f>
        <v>-30</v>
      </c>
      <c r="M18" s="40">
        <f>對照日期貨三大法人!I7</f>
        <v>-92631</v>
      </c>
      <c r="N18" s="36">
        <f t="shared" si="10"/>
        <v>773.91791044776119</v>
      </c>
      <c r="O18" s="40" t="str">
        <f t="shared" si="11"/>
        <v>做空期貨774</v>
      </c>
      <c r="P18" s="70">
        <f>對照日期貨三大法人!J7</f>
        <v>237</v>
      </c>
      <c r="Q18" s="70">
        <v>4000</v>
      </c>
      <c r="R18" s="70">
        <f t="shared" si="12"/>
        <v>767.62447257383974</v>
      </c>
      <c r="S18" s="44">
        <f>對照日期貨三大法人!K7</f>
        <v>727708</v>
      </c>
      <c r="T18" s="70">
        <f>對照日期貨三大法人!L7</f>
        <v>390</v>
      </c>
      <c r="U18" s="70">
        <v>4000</v>
      </c>
      <c r="V18" s="70">
        <f t="shared" si="13"/>
        <v>767.63461538461536</v>
      </c>
      <c r="W18" s="44">
        <f>對照日期貨三大法人!M7</f>
        <v>1197510</v>
      </c>
      <c r="X18" s="71">
        <f>對照日期貨三大法人!N7</f>
        <v>-153</v>
      </c>
      <c r="Y18" s="44">
        <f>對照日期貨三大法人!O7</f>
        <v>-469802</v>
      </c>
      <c r="Z18" s="71">
        <f t="shared" si="14"/>
        <v>767.63461538461536</v>
      </c>
      <c r="AA18" s="44" t="str">
        <f t="shared" si="15"/>
        <v>做空期貨768</v>
      </c>
    </row>
    <row r="19" spans="2:27" x14ac:dyDescent="0.4">
      <c r="B19" s="111"/>
      <c r="C19" s="63" t="s">
        <v>187</v>
      </c>
      <c r="D19" s="45">
        <f>對照日期貨三大法人!B8</f>
        <v>0</v>
      </c>
      <c r="E19" s="72">
        <v>4000</v>
      </c>
      <c r="F19" s="72" t="str">
        <f t="shared" si="8"/>
        <v/>
      </c>
      <c r="G19" s="72">
        <f>對照日期貨三大法人!C8</f>
        <v>0</v>
      </c>
      <c r="H19" s="45">
        <f>對照日期貨三大法人!D8</f>
        <v>0</v>
      </c>
      <c r="I19" s="72">
        <v>4000</v>
      </c>
      <c r="J19" s="72" t="str">
        <f t="shared" si="9"/>
        <v/>
      </c>
      <c r="K19" s="72">
        <f>對照日期貨三大法人!E8</f>
        <v>0</v>
      </c>
      <c r="L19" s="45">
        <f>對照日期貨三大法人!F8</f>
        <v>0</v>
      </c>
      <c r="M19" s="49">
        <f>對照日期貨三大法人!G8</f>
        <v>0</v>
      </c>
      <c r="N19" s="45" t="str">
        <f t="shared" si="10"/>
        <v/>
      </c>
      <c r="O19" s="49" t="str">
        <f t="shared" si="11"/>
        <v/>
      </c>
      <c r="P19" s="73">
        <f>對照日期貨三大法人!H8</f>
        <v>167</v>
      </c>
      <c r="Q19" s="73">
        <v>4000</v>
      </c>
      <c r="R19" s="73">
        <f t="shared" si="12"/>
        <v>767.64970059880238</v>
      </c>
      <c r="S19" s="52">
        <f>對照日期貨三大法人!I8</f>
        <v>512790</v>
      </c>
      <c r="T19" s="73">
        <f>對照日期貨三大法人!J8</f>
        <v>0</v>
      </c>
      <c r="U19" s="73">
        <v>4000</v>
      </c>
      <c r="V19" s="73" t="str">
        <f t="shared" si="13"/>
        <v/>
      </c>
      <c r="W19" s="52">
        <f>對照日期貨三大法人!K8</f>
        <v>0</v>
      </c>
      <c r="X19" s="74">
        <f>對照日期貨三大法人!L8</f>
        <v>167</v>
      </c>
      <c r="Y19" s="52">
        <f>對照日期貨三大法人!M8</f>
        <v>512790</v>
      </c>
      <c r="Z19" s="74">
        <f t="shared" si="14"/>
        <v>767.64970059880238</v>
      </c>
      <c r="AA19" s="52" t="str">
        <f t="shared" si="15"/>
        <v>做多期貨768</v>
      </c>
    </row>
    <row r="20" spans="2:27" ht="17.5" thickBot="1" x14ac:dyDescent="0.45">
      <c r="B20" s="112"/>
      <c r="C20" s="80" t="s">
        <v>188</v>
      </c>
      <c r="D20" s="53">
        <f>對照日期貨三大法人!B9</f>
        <v>996</v>
      </c>
      <c r="E20" s="75">
        <v>4000</v>
      </c>
      <c r="F20" s="75">
        <f t="shared" si="8"/>
        <v>773.97088353413653</v>
      </c>
      <c r="G20" s="75">
        <f>對照日期貨三大法人!C9</f>
        <v>3083500</v>
      </c>
      <c r="H20" s="53">
        <f>對照日期貨三大法人!D9</f>
        <v>969</v>
      </c>
      <c r="I20" s="75">
        <v>4000</v>
      </c>
      <c r="J20" s="75">
        <f t="shared" si="9"/>
        <v>773.71259029927762</v>
      </c>
      <c r="K20" s="75">
        <f>對照日期貨三大法人!E9</f>
        <v>2998910</v>
      </c>
      <c r="L20" s="53">
        <f>對照日期貨三大法人!F9</f>
        <v>27</v>
      </c>
      <c r="M20" s="57">
        <f>對照日期貨三大法人!G9</f>
        <v>84590</v>
      </c>
      <c r="N20" s="53">
        <f t="shared" si="10"/>
        <v>773.97088353413653</v>
      </c>
      <c r="O20" s="57" t="str">
        <f t="shared" si="11"/>
        <v>做多期貨774</v>
      </c>
      <c r="P20" s="76">
        <f>對照日期貨三大法人!H9</f>
        <v>913</v>
      </c>
      <c r="Q20" s="76">
        <v>4000</v>
      </c>
      <c r="R20" s="76">
        <f t="shared" si="12"/>
        <v>767.65005476451256</v>
      </c>
      <c r="S20" s="61">
        <f>對照日期貨三大法人!I9</f>
        <v>2803458</v>
      </c>
      <c r="T20" s="76">
        <f>對照日期貨三大法人!J9</f>
        <v>540</v>
      </c>
      <c r="U20" s="76">
        <v>4000</v>
      </c>
      <c r="V20" s="76">
        <f t="shared" si="13"/>
        <v>767.65</v>
      </c>
      <c r="W20" s="61">
        <f>對照日期貨三大法人!K9</f>
        <v>1658124</v>
      </c>
      <c r="X20" s="77">
        <f>對照日期貨三大法人!L9</f>
        <v>373</v>
      </c>
      <c r="Y20" s="61">
        <f>對照日期貨三大法人!M9</f>
        <v>1145334</v>
      </c>
      <c r="Z20" s="77">
        <f t="shared" si="14"/>
        <v>767.65005476451256</v>
      </c>
      <c r="AA20" s="61" t="str">
        <f t="shared" si="15"/>
        <v>做多期貨768</v>
      </c>
    </row>
    <row r="21" spans="2:27" ht="16.5" customHeight="1" x14ac:dyDescent="0.4">
      <c r="B21" s="110" t="s">
        <v>194</v>
      </c>
      <c r="C21" s="79" t="s">
        <v>186</v>
      </c>
      <c r="D21" s="36">
        <f>對照日期貨三大法人!D10</f>
        <v>102</v>
      </c>
      <c r="E21" s="69">
        <v>1000</v>
      </c>
      <c r="F21" s="69">
        <f t="shared" si="8"/>
        <v>1576.8333333333333</v>
      </c>
      <c r="G21" s="69">
        <f>對照日期貨三大法人!E10</f>
        <v>160837</v>
      </c>
      <c r="H21" s="36">
        <f>對照日期貨三大法人!F10</f>
        <v>94</v>
      </c>
      <c r="I21" s="69">
        <v>1000</v>
      </c>
      <c r="J21" s="69">
        <f t="shared" si="9"/>
        <v>1576.244680851064</v>
      </c>
      <c r="K21" s="69">
        <f>對照日期貨三大法人!G10</f>
        <v>148167</v>
      </c>
      <c r="L21" s="36">
        <f>對照日期貨三大法人!H10</f>
        <v>8</v>
      </c>
      <c r="M21" s="40">
        <f>對照日期貨三大法人!I10</f>
        <v>12670</v>
      </c>
      <c r="N21" s="36">
        <f t="shared" si="10"/>
        <v>1576.8333333333333</v>
      </c>
      <c r="O21" s="40" t="str">
        <f t="shared" si="11"/>
        <v>做多期貨1577</v>
      </c>
      <c r="P21" s="70">
        <f>對照日期貨三大法人!J10</f>
        <v>502</v>
      </c>
      <c r="Q21" s="70">
        <v>1000</v>
      </c>
      <c r="R21" s="70">
        <f t="shared" si="12"/>
        <v>1571.5796812749004</v>
      </c>
      <c r="S21" s="44">
        <f>對照日期貨三大法人!K10</f>
        <v>788933</v>
      </c>
      <c r="T21" s="70">
        <f>對照日期貨三大法人!L10</f>
        <v>240</v>
      </c>
      <c r="U21" s="70">
        <v>1000</v>
      </c>
      <c r="V21" s="70">
        <f t="shared" si="13"/>
        <v>1571.3958333333333</v>
      </c>
      <c r="W21" s="44">
        <f>對照日期貨三大法人!M10</f>
        <v>377135</v>
      </c>
      <c r="X21" s="71">
        <f>對照日期貨三大法人!N10</f>
        <v>262</v>
      </c>
      <c r="Y21" s="44">
        <f>對照日期貨三大法人!O10</f>
        <v>411798</v>
      </c>
      <c r="Z21" s="71">
        <f t="shared" si="14"/>
        <v>1571.5796812749004</v>
      </c>
      <c r="AA21" s="44" t="str">
        <f t="shared" si="15"/>
        <v>做多期貨1572</v>
      </c>
    </row>
    <row r="22" spans="2:27" x14ac:dyDescent="0.4">
      <c r="B22" s="111"/>
      <c r="C22" s="63" t="s">
        <v>187</v>
      </c>
      <c r="D22" s="45">
        <f>對照日期貨三大法人!B11</f>
        <v>0</v>
      </c>
      <c r="E22" s="72">
        <v>1000</v>
      </c>
      <c r="F22" s="72" t="str">
        <f t="shared" si="8"/>
        <v/>
      </c>
      <c r="G22" s="72">
        <f>對照日期貨三大法人!C11</f>
        <v>0</v>
      </c>
      <c r="H22" s="45">
        <f>對照日期貨三大法人!D11</f>
        <v>0</v>
      </c>
      <c r="I22" s="72">
        <v>1000</v>
      </c>
      <c r="J22" s="72" t="str">
        <f t="shared" si="9"/>
        <v/>
      </c>
      <c r="K22" s="72">
        <f>對照日期貨三大法人!E11</f>
        <v>0</v>
      </c>
      <c r="L22" s="45">
        <f>對照日期貨三大法人!F11</f>
        <v>0</v>
      </c>
      <c r="M22" s="49">
        <f>對照日期貨三大法人!G11</f>
        <v>0</v>
      </c>
      <c r="N22" s="45" t="str">
        <f t="shared" si="10"/>
        <v/>
      </c>
      <c r="O22" s="49" t="str">
        <f t="shared" si="11"/>
        <v/>
      </c>
      <c r="P22" s="73">
        <f>對照日期貨三大法人!H11</f>
        <v>24</v>
      </c>
      <c r="Q22" s="73">
        <v>1000</v>
      </c>
      <c r="R22" s="73">
        <f t="shared" si="12"/>
        <v>1571.5833333333333</v>
      </c>
      <c r="S22" s="52">
        <f>對照日期貨三大法人!I11</f>
        <v>37718</v>
      </c>
      <c r="T22" s="73">
        <f>對照日期貨三大法人!J11</f>
        <v>0</v>
      </c>
      <c r="U22" s="73">
        <v>1000</v>
      </c>
      <c r="V22" s="73" t="str">
        <f t="shared" si="13"/>
        <v/>
      </c>
      <c r="W22" s="52">
        <f>對照日期貨三大法人!K11</f>
        <v>0</v>
      </c>
      <c r="X22" s="74">
        <f>對照日期貨三大法人!L11</f>
        <v>24</v>
      </c>
      <c r="Y22" s="52">
        <f>對照日期貨三大法人!M11</f>
        <v>37718</v>
      </c>
      <c r="Z22" s="74">
        <f t="shared" si="14"/>
        <v>1571.5833333333333</v>
      </c>
      <c r="AA22" s="52" t="str">
        <f t="shared" si="15"/>
        <v>做多期貨1572</v>
      </c>
    </row>
    <row r="23" spans="2:27" ht="17.5" thickBot="1" x14ac:dyDescent="0.45">
      <c r="B23" s="112"/>
      <c r="C23" s="80" t="s">
        <v>188</v>
      </c>
      <c r="D23" s="53">
        <f>對照日期貨三大法人!B12</f>
        <v>350</v>
      </c>
      <c r="E23" s="75">
        <v>1000</v>
      </c>
      <c r="F23" s="75">
        <f t="shared" si="8"/>
        <v>1577.4685714285713</v>
      </c>
      <c r="G23" s="75">
        <f>對照日期貨三大法人!C12</f>
        <v>552114</v>
      </c>
      <c r="H23" s="53">
        <f>對照日期貨三大法人!D12</f>
        <v>384</v>
      </c>
      <c r="I23" s="75">
        <v>1000</v>
      </c>
      <c r="J23" s="75">
        <f t="shared" si="9"/>
        <v>1577.0833333333333</v>
      </c>
      <c r="K23" s="75">
        <f>對照日期貨三大法人!E12</f>
        <v>605600</v>
      </c>
      <c r="L23" s="53">
        <f>對照日期貨三大法人!F12</f>
        <v>-34</v>
      </c>
      <c r="M23" s="57">
        <f>對照日期貨三大法人!G12</f>
        <v>-53485</v>
      </c>
      <c r="N23" s="53">
        <f t="shared" si="10"/>
        <v>1577.0833333333333</v>
      </c>
      <c r="O23" s="57" t="str">
        <f t="shared" si="11"/>
        <v>做空期貨1577</v>
      </c>
      <c r="P23" s="76">
        <f>對照日期貨三大法人!H12</f>
        <v>535</v>
      </c>
      <c r="Q23" s="76">
        <v>1000</v>
      </c>
      <c r="R23" s="76">
        <f t="shared" si="12"/>
        <v>1571.6</v>
      </c>
      <c r="S23" s="61">
        <f>對照日期貨三大法人!I12</f>
        <v>840806</v>
      </c>
      <c r="T23" s="76">
        <f>對照日期貨三大法人!J12</f>
        <v>2209</v>
      </c>
      <c r="U23" s="76">
        <v>1000</v>
      </c>
      <c r="V23" s="76">
        <f t="shared" si="13"/>
        <v>1571.5998189225893</v>
      </c>
      <c r="W23" s="61">
        <f>對照日期貨三大法人!K12</f>
        <v>3471664</v>
      </c>
      <c r="X23" s="77">
        <f>對照日期貨三大法人!L12</f>
        <v>-1674</v>
      </c>
      <c r="Y23" s="61">
        <f>對照日期貨三大法人!M12</f>
        <v>-2630858</v>
      </c>
      <c r="Z23" s="77">
        <f t="shared" si="14"/>
        <v>1571.5998189225893</v>
      </c>
      <c r="AA23" s="61" t="str">
        <f t="shared" si="15"/>
        <v>做空期貨1572</v>
      </c>
    </row>
    <row r="24" spans="2:27" ht="16.5" customHeight="1" x14ac:dyDescent="0.4">
      <c r="B24" s="110" t="s">
        <v>195</v>
      </c>
      <c r="C24" s="79" t="s">
        <v>186</v>
      </c>
      <c r="D24" s="36">
        <f>對照日期貨三大法人!D13</f>
        <v>15709</v>
      </c>
      <c r="E24" s="69">
        <v>50</v>
      </c>
      <c r="F24" s="69">
        <f t="shared" si="8"/>
        <v>16442.277675218029</v>
      </c>
      <c r="G24" s="69">
        <f>對照日期貨三大法人!E13</f>
        <v>12914587</v>
      </c>
      <c r="H24" s="36">
        <f>對照日期貨三大法人!F13</f>
        <v>16426</v>
      </c>
      <c r="I24" s="69">
        <v>50</v>
      </c>
      <c r="J24" s="69">
        <f t="shared" si="9"/>
        <v>16432.314623158407</v>
      </c>
      <c r="K24" s="69">
        <f>對照日期貨三大法人!G13</f>
        <v>13495860</v>
      </c>
      <c r="L24" s="36">
        <f>對照日期貨三大法人!H13</f>
        <v>-717</v>
      </c>
      <c r="M24" s="40">
        <f>對照日期貨三大法人!I13</f>
        <v>-581273</v>
      </c>
      <c r="N24" s="36">
        <f t="shared" si="10"/>
        <v>16432.314623158407</v>
      </c>
      <c r="O24" s="40" t="str">
        <f t="shared" si="11"/>
        <v>做空期貨16432</v>
      </c>
      <c r="P24" s="70">
        <f>對照日期貨三大法人!J13</f>
        <v>13992</v>
      </c>
      <c r="Q24" s="70">
        <v>50</v>
      </c>
      <c r="R24" s="70">
        <f t="shared" si="12"/>
        <v>16293.895082904517</v>
      </c>
      <c r="S24" s="44">
        <f>對照日期貨三大法人!K13</f>
        <v>11399209</v>
      </c>
      <c r="T24" s="70">
        <f>對照日期貨三大法人!L13</f>
        <v>13452</v>
      </c>
      <c r="U24" s="70">
        <v>50</v>
      </c>
      <c r="V24" s="70">
        <f t="shared" si="13"/>
        <v>16274.928635147191</v>
      </c>
      <c r="W24" s="44">
        <f>對照日期貨三大法人!M13</f>
        <v>10946517</v>
      </c>
      <c r="X24" s="71">
        <f>對照日期貨三大法人!N13</f>
        <v>540</v>
      </c>
      <c r="Y24" s="44">
        <f>對照日期貨三大法人!O13</f>
        <v>452692</v>
      </c>
      <c r="Z24" s="71">
        <f t="shared" si="14"/>
        <v>16293.895082904517</v>
      </c>
      <c r="AA24" s="44" t="str">
        <f t="shared" si="15"/>
        <v>做多期貨16294</v>
      </c>
    </row>
    <row r="25" spans="2:27" x14ac:dyDescent="0.4">
      <c r="B25" s="111"/>
      <c r="C25" s="63" t="s">
        <v>187</v>
      </c>
      <c r="D25" s="45">
        <f>對照日期貨三大法人!B14</f>
        <v>0</v>
      </c>
      <c r="E25" s="72">
        <v>50</v>
      </c>
      <c r="F25" s="72" t="str">
        <f t="shared" si="8"/>
        <v/>
      </c>
      <c r="G25" s="72">
        <f>對照日期貨三大法人!C14</f>
        <v>0</v>
      </c>
      <c r="H25" s="45">
        <f>對照日期貨三大法人!D14</f>
        <v>0</v>
      </c>
      <c r="I25" s="72">
        <v>50</v>
      </c>
      <c r="J25" s="72" t="str">
        <f t="shared" si="9"/>
        <v/>
      </c>
      <c r="K25" s="72">
        <f>對照日期貨三大法人!E14</f>
        <v>0</v>
      </c>
      <c r="L25" s="45">
        <f>對照日期貨三大法人!F14</f>
        <v>0</v>
      </c>
      <c r="M25" s="49">
        <f>對照日期貨三大法人!G14</f>
        <v>0</v>
      </c>
      <c r="N25" s="45" t="str">
        <f t="shared" si="10"/>
        <v/>
      </c>
      <c r="O25" s="49" t="str">
        <f t="shared" si="11"/>
        <v/>
      </c>
      <c r="P25" s="73">
        <f>對照日期貨三大法人!H14</f>
        <v>250</v>
      </c>
      <c r="Q25" s="73">
        <v>50</v>
      </c>
      <c r="R25" s="73">
        <f t="shared" si="12"/>
        <v>16321.04</v>
      </c>
      <c r="S25" s="52">
        <f>對照日期貨三大法人!I14</f>
        <v>204013</v>
      </c>
      <c r="T25" s="73">
        <f>對照日期貨三大法人!J14</f>
        <v>0</v>
      </c>
      <c r="U25" s="73">
        <v>50</v>
      </c>
      <c r="V25" s="73" t="str">
        <f t="shared" si="13"/>
        <v/>
      </c>
      <c r="W25" s="52">
        <f>對照日期貨三大法人!K14</f>
        <v>0</v>
      </c>
      <c r="X25" s="74">
        <f>對照日期貨三大法人!L14</f>
        <v>250</v>
      </c>
      <c r="Y25" s="52">
        <f>對照日期貨三大法人!M14</f>
        <v>204013</v>
      </c>
      <c r="Z25" s="74">
        <f t="shared" si="14"/>
        <v>16321.04</v>
      </c>
      <c r="AA25" s="52" t="str">
        <f t="shared" si="15"/>
        <v>做多期貨16321</v>
      </c>
    </row>
    <row r="26" spans="2:27" ht="17.5" thickBot="1" x14ac:dyDescent="0.45">
      <c r="B26" s="112"/>
      <c r="C26" s="80" t="s">
        <v>188</v>
      </c>
      <c r="D26" s="53">
        <f>對照日期貨三大法人!B15</f>
        <v>107734</v>
      </c>
      <c r="E26" s="75">
        <v>50</v>
      </c>
      <c r="F26" s="75">
        <f t="shared" si="8"/>
        <v>16449.05563703195</v>
      </c>
      <c r="G26" s="75">
        <f>對照日期貨三大法人!C15</f>
        <v>88606128</v>
      </c>
      <c r="H26" s="53">
        <f>對照日期貨三大法人!D15</f>
        <v>111195</v>
      </c>
      <c r="I26" s="75">
        <v>50</v>
      </c>
      <c r="J26" s="75">
        <f t="shared" si="9"/>
        <v>16447.717253473627</v>
      </c>
      <c r="K26" s="75">
        <f>對照日期貨三大法人!E15</f>
        <v>91445196</v>
      </c>
      <c r="L26" s="53">
        <f>對照日期貨三大法人!F15</f>
        <v>-3461</v>
      </c>
      <c r="M26" s="57">
        <f>對照日期貨三大法人!G15</f>
        <v>-2839068</v>
      </c>
      <c r="N26" s="53">
        <f t="shared" si="10"/>
        <v>16447.717253473627</v>
      </c>
      <c r="O26" s="57" t="str">
        <f t="shared" si="11"/>
        <v>做空期貨16448</v>
      </c>
      <c r="P26" s="76">
        <f>對照日期貨三大法人!H15</f>
        <v>1166</v>
      </c>
      <c r="Q26" s="76">
        <v>50</v>
      </c>
      <c r="R26" s="76">
        <f t="shared" si="12"/>
        <v>16319.022298456261</v>
      </c>
      <c r="S26" s="61">
        <f>對照日期貨三大法人!I15</f>
        <v>951399</v>
      </c>
      <c r="T26" s="76">
        <f>對照日期貨三大法人!J15</f>
        <v>16369</v>
      </c>
      <c r="U26" s="76">
        <v>50</v>
      </c>
      <c r="V26" s="76">
        <f t="shared" si="13"/>
        <v>16318.254016738958</v>
      </c>
      <c r="W26" s="61">
        <f>對照日期貨三大法人!K15</f>
        <v>13355675</v>
      </c>
      <c r="X26" s="77">
        <f>對照日期貨三大法人!L15</f>
        <v>-15203</v>
      </c>
      <c r="Y26" s="61">
        <f>對照日期貨三大法人!M15</f>
        <v>-12404276</v>
      </c>
      <c r="Z26" s="77">
        <f t="shared" si="14"/>
        <v>16318.254016738958</v>
      </c>
      <c r="AA26" s="61" t="str">
        <f t="shared" si="15"/>
        <v>做空期貨16318</v>
      </c>
    </row>
    <row r="27" spans="2:27" ht="16.5" customHeight="1" x14ac:dyDescent="0.4">
      <c r="B27" s="110" t="s">
        <v>196</v>
      </c>
      <c r="C27" s="79" t="s">
        <v>186</v>
      </c>
      <c r="D27" s="36">
        <f>對照日期貨三大法人!D16</f>
        <v>1031</v>
      </c>
      <c r="E27" s="69">
        <v>50</v>
      </c>
      <c r="F27" s="69">
        <f t="shared" si="8"/>
        <v>7760.6401551891358</v>
      </c>
      <c r="G27" s="69">
        <f>對照日期貨三大法人!E16</f>
        <v>400061</v>
      </c>
      <c r="H27" s="36">
        <f>對照日期貨三大法人!F16</f>
        <v>1003</v>
      </c>
      <c r="I27" s="69">
        <v>50</v>
      </c>
      <c r="J27" s="69">
        <f t="shared" si="9"/>
        <v>7758.3649052841474</v>
      </c>
      <c r="K27" s="69">
        <f>對照日期貨三大法人!G16</f>
        <v>389082</v>
      </c>
      <c r="L27" s="36">
        <f>對照日期貨三大法人!H16</f>
        <v>28</v>
      </c>
      <c r="M27" s="40">
        <f>對照日期貨三大法人!I16</f>
        <v>10979</v>
      </c>
      <c r="N27" s="36">
        <f t="shared" si="10"/>
        <v>7760.6401551891358</v>
      </c>
      <c r="O27" s="40" t="str">
        <f t="shared" si="11"/>
        <v>做多期貨7761</v>
      </c>
      <c r="P27" s="70">
        <f>對照日期貨三大法人!J16</f>
        <v>315</v>
      </c>
      <c r="Q27" s="70">
        <v>50</v>
      </c>
      <c r="R27" s="70">
        <f t="shared" si="12"/>
        <v>7676.5079365079364</v>
      </c>
      <c r="S27" s="44">
        <f>對照日期貨三大法人!K16</f>
        <v>120905</v>
      </c>
      <c r="T27" s="70">
        <f>對照日期貨三大法人!L16</f>
        <v>245</v>
      </c>
      <c r="U27" s="70">
        <v>50</v>
      </c>
      <c r="V27" s="70">
        <f t="shared" si="13"/>
        <v>7675.1836734693879</v>
      </c>
      <c r="W27" s="44">
        <f>對照日期貨三大法人!M16</f>
        <v>94021</v>
      </c>
      <c r="X27" s="71">
        <f>對照日期貨三大法人!N16</f>
        <v>70</v>
      </c>
      <c r="Y27" s="44">
        <f>對照日期貨三大法人!O16</f>
        <v>26884</v>
      </c>
      <c r="Z27" s="71">
        <f t="shared" si="14"/>
        <v>7676.5079365079364</v>
      </c>
      <c r="AA27" s="44" t="str">
        <f t="shared" si="15"/>
        <v>做多期貨7677</v>
      </c>
    </row>
    <row r="28" spans="2:27" x14ac:dyDescent="0.4">
      <c r="B28" s="111"/>
      <c r="C28" s="63" t="s">
        <v>187</v>
      </c>
      <c r="D28" s="45">
        <f>對照日期貨三大法人!B17</f>
        <v>0</v>
      </c>
      <c r="E28" s="72">
        <v>50</v>
      </c>
      <c r="F28" s="72" t="str">
        <f t="shared" si="8"/>
        <v/>
      </c>
      <c r="G28" s="72">
        <f>對照日期貨三大法人!C17</f>
        <v>0</v>
      </c>
      <c r="H28" s="45">
        <f>對照日期貨三大法人!D17</f>
        <v>0</v>
      </c>
      <c r="I28" s="72">
        <v>50</v>
      </c>
      <c r="J28" s="72" t="str">
        <f t="shared" si="9"/>
        <v/>
      </c>
      <c r="K28" s="72">
        <f>對照日期貨三大法人!E17</f>
        <v>0</v>
      </c>
      <c r="L28" s="45">
        <f>對照日期貨三大法人!F17</f>
        <v>0</v>
      </c>
      <c r="M28" s="49">
        <f>對照日期貨三大法人!G17</f>
        <v>0</v>
      </c>
      <c r="N28" s="45" t="str">
        <f t="shared" si="10"/>
        <v/>
      </c>
      <c r="O28" s="49" t="str">
        <f t="shared" si="11"/>
        <v/>
      </c>
      <c r="P28" s="73">
        <f>對照日期貨三大法人!H17</f>
        <v>0</v>
      </c>
      <c r="Q28" s="73">
        <v>50</v>
      </c>
      <c r="R28" s="73" t="str">
        <f t="shared" si="12"/>
        <v/>
      </c>
      <c r="S28" s="52">
        <f>對照日期貨三大法人!I17</f>
        <v>0</v>
      </c>
      <c r="T28" s="73">
        <f>對照日期貨三大法人!J17</f>
        <v>0</v>
      </c>
      <c r="U28" s="73">
        <v>50</v>
      </c>
      <c r="V28" s="73" t="str">
        <f t="shared" si="13"/>
        <v/>
      </c>
      <c r="W28" s="52">
        <f>對照日期貨三大法人!K17</f>
        <v>0</v>
      </c>
      <c r="X28" s="74">
        <f>對照日期貨三大法人!L17</f>
        <v>0</v>
      </c>
      <c r="Y28" s="52">
        <f>對照日期貨三大法人!M17</f>
        <v>0</v>
      </c>
      <c r="Z28" s="74" t="str">
        <f t="shared" si="14"/>
        <v/>
      </c>
      <c r="AA28" s="52" t="str">
        <f t="shared" si="15"/>
        <v/>
      </c>
    </row>
    <row r="29" spans="2:27" ht="17.5" thickBot="1" x14ac:dyDescent="0.45">
      <c r="B29" s="112"/>
      <c r="C29" s="80" t="s">
        <v>188</v>
      </c>
      <c r="D29" s="53">
        <f>對照日期貨三大法人!B18</f>
        <v>1218</v>
      </c>
      <c r="E29" s="75">
        <v>50</v>
      </c>
      <c r="F29" s="75">
        <f t="shared" si="8"/>
        <v>7736.4039408866993</v>
      </c>
      <c r="G29" s="75">
        <f>對照日期貨三大法人!C18</f>
        <v>471147</v>
      </c>
      <c r="H29" s="53">
        <f>對照日期貨三大法人!D18</f>
        <v>1338</v>
      </c>
      <c r="I29" s="75">
        <v>50</v>
      </c>
      <c r="J29" s="75">
        <f t="shared" si="9"/>
        <v>7731.1360239162923</v>
      </c>
      <c r="K29" s="75">
        <f>對照日期貨三大法人!E18</f>
        <v>517213</v>
      </c>
      <c r="L29" s="53">
        <f>對照日期貨三大法人!F18</f>
        <v>-120</v>
      </c>
      <c r="M29" s="57">
        <f>對照日期貨三大法人!G18</f>
        <v>-46066</v>
      </c>
      <c r="N29" s="53">
        <f t="shared" si="10"/>
        <v>7731.1360239162923</v>
      </c>
      <c r="O29" s="57" t="str">
        <f t="shared" si="11"/>
        <v>做空期貨7731</v>
      </c>
      <c r="P29" s="76">
        <f>對照日期貨三大法人!H18</f>
        <v>192</v>
      </c>
      <c r="Q29" s="76">
        <v>50</v>
      </c>
      <c r="R29" s="76">
        <f t="shared" si="12"/>
        <v>7676.4583333333339</v>
      </c>
      <c r="S29" s="61">
        <f>對照日期貨三大法人!I18</f>
        <v>73694</v>
      </c>
      <c r="T29" s="76">
        <f>對照日期貨三大法人!J18</f>
        <v>168</v>
      </c>
      <c r="U29" s="76">
        <v>50</v>
      </c>
      <c r="V29" s="76">
        <f t="shared" si="13"/>
        <v>7676.5476190476193</v>
      </c>
      <c r="W29" s="61">
        <f>對照日期貨三大法人!K18</f>
        <v>64483</v>
      </c>
      <c r="X29" s="77">
        <f>對照日期貨三大法人!L18</f>
        <v>24</v>
      </c>
      <c r="Y29" s="61">
        <f>對照日期貨三大法人!M18</f>
        <v>9211</v>
      </c>
      <c r="Z29" s="77">
        <f t="shared" si="14"/>
        <v>7676.4583333333339</v>
      </c>
      <c r="AA29" s="61" t="str">
        <f t="shared" si="15"/>
        <v>做多期貨7676</v>
      </c>
    </row>
    <row r="30" spans="2:27" ht="16.5" customHeight="1" x14ac:dyDescent="0.4">
      <c r="B30" s="110" t="s">
        <v>197</v>
      </c>
      <c r="C30" s="79" t="s">
        <v>186</v>
      </c>
      <c r="D30" s="36">
        <f>對照日期貨三大法人!D19</f>
        <v>4</v>
      </c>
      <c r="E30" s="69">
        <v>2000</v>
      </c>
      <c r="F30" s="69">
        <f t="shared" si="8"/>
        <v>649.25</v>
      </c>
      <c r="G30" s="69">
        <f>對照日期貨三大法人!E19</f>
        <v>5194</v>
      </c>
      <c r="H30" s="36">
        <f>對照日期貨三大法人!F19</f>
        <v>0</v>
      </c>
      <c r="I30" s="69">
        <v>2000</v>
      </c>
      <c r="J30" s="69" t="str">
        <f t="shared" si="9"/>
        <v/>
      </c>
      <c r="K30" s="69">
        <f>對照日期貨三大法人!G19</f>
        <v>0</v>
      </c>
      <c r="L30" s="36">
        <f>對照日期貨三大法人!H19</f>
        <v>4</v>
      </c>
      <c r="M30" s="40">
        <f>對照日期貨三大法人!I19</f>
        <v>5194</v>
      </c>
      <c r="N30" s="36">
        <f t="shared" si="10"/>
        <v>649.25</v>
      </c>
      <c r="O30" s="40" t="str">
        <f t="shared" si="11"/>
        <v>做多期貨649</v>
      </c>
      <c r="P30" s="70">
        <f>對照日期貨三大法人!J19</f>
        <v>31</v>
      </c>
      <c r="Q30" s="70">
        <v>2000</v>
      </c>
      <c r="R30" s="70">
        <f t="shared" si="12"/>
        <v>646.79032258064524</v>
      </c>
      <c r="S30" s="44">
        <f>對照日期貨三大法人!K19</f>
        <v>40101</v>
      </c>
      <c r="T30" s="70">
        <f>對照日期貨三大法人!L19</f>
        <v>65</v>
      </c>
      <c r="U30" s="70">
        <v>2000</v>
      </c>
      <c r="V30" s="70">
        <f t="shared" si="13"/>
        <v>646.7538461538461</v>
      </c>
      <c r="W30" s="44">
        <f>對照日期貨三大法人!M19</f>
        <v>84078</v>
      </c>
      <c r="X30" s="71">
        <f>對照日期貨三大法人!N19</f>
        <v>-34</v>
      </c>
      <c r="Y30" s="44">
        <f>對照日期貨三大法人!O19</f>
        <v>-43977</v>
      </c>
      <c r="Z30" s="71">
        <f t="shared" si="14"/>
        <v>646.7538461538461</v>
      </c>
      <c r="AA30" s="44" t="str">
        <f t="shared" si="15"/>
        <v>做空期貨647</v>
      </c>
    </row>
    <row r="31" spans="2:27" x14ac:dyDescent="0.4">
      <c r="B31" s="111"/>
      <c r="C31" s="63" t="s">
        <v>187</v>
      </c>
      <c r="D31" s="45">
        <f>對照日期貨三大法人!B20</f>
        <v>0</v>
      </c>
      <c r="E31" s="72">
        <v>2000</v>
      </c>
      <c r="F31" s="72" t="str">
        <f t="shared" si="8"/>
        <v/>
      </c>
      <c r="G31" s="72">
        <f>對照日期貨三大法人!C20</f>
        <v>0</v>
      </c>
      <c r="H31" s="45">
        <f>對照日期貨三大法人!D20</f>
        <v>0</v>
      </c>
      <c r="I31" s="72">
        <v>2000</v>
      </c>
      <c r="J31" s="72" t="str">
        <f t="shared" si="9"/>
        <v/>
      </c>
      <c r="K31" s="72">
        <f>對照日期貨三大法人!E20</f>
        <v>0</v>
      </c>
      <c r="L31" s="45">
        <f>對照日期貨三大法人!F20</f>
        <v>0</v>
      </c>
      <c r="M31" s="49">
        <f>對照日期貨三大法人!G20</f>
        <v>0</v>
      </c>
      <c r="N31" s="45" t="str">
        <f t="shared" si="10"/>
        <v/>
      </c>
      <c r="O31" s="49" t="str">
        <f t="shared" si="11"/>
        <v/>
      </c>
      <c r="P31" s="73">
        <f>對照日期貨三大法人!H20</f>
        <v>0</v>
      </c>
      <c r="Q31" s="73">
        <v>2000</v>
      </c>
      <c r="R31" s="73" t="str">
        <f t="shared" si="12"/>
        <v/>
      </c>
      <c r="S31" s="52">
        <f>對照日期貨三大法人!I20</f>
        <v>0</v>
      </c>
      <c r="T31" s="73">
        <f>對照日期貨三大法人!J20</f>
        <v>0</v>
      </c>
      <c r="U31" s="73">
        <v>2000</v>
      </c>
      <c r="V31" s="73" t="str">
        <f t="shared" si="13"/>
        <v/>
      </c>
      <c r="W31" s="52">
        <f>對照日期貨三大法人!K20</f>
        <v>0</v>
      </c>
      <c r="X31" s="74">
        <f>對照日期貨三大法人!L20</f>
        <v>0</v>
      </c>
      <c r="Y31" s="52">
        <f>對照日期貨三大法人!M20</f>
        <v>0</v>
      </c>
      <c r="Z31" s="74" t="str">
        <f t="shared" si="14"/>
        <v/>
      </c>
      <c r="AA31" s="52" t="str">
        <f t="shared" si="15"/>
        <v/>
      </c>
    </row>
    <row r="32" spans="2:27" ht="17.5" thickBot="1" x14ac:dyDescent="0.45">
      <c r="B32" s="112"/>
      <c r="C32" s="80" t="s">
        <v>188</v>
      </c>
      <c r="D32" s="53">
        <f>對照日期貨三大法人!B21</f>
        <v>0</v>
      </c>
      <c r="E32" s="75">
        <v>2000</v>
      </c>
      <c r="F32" s="75" t="str">
        <f t="shared" si="8"/>
        <v/>
      </c>
      <c r="G32" s="75">
        <f>對照日期貨三大法人!C21</f>
        <v>0</v>
      </c>
      <c r="H32" s="53">
        <f>對照日期貨三大法人!D21</f>
        <v>0</v>
      </c>
      <c r="I32" s="75">
        <v>2000</v>
      </c>
      <c r="J32" s="75" t="str">
        <f t="shared" si="9"/>
        <v/>
      </c>
      <c r="K32" s="75">
        <f>對照日期貨三大法人!E21</f>
        <v>0</v>
      </c>
      <c r="L32" s="53">
        <f>對照日期貨三大法人!F21</f>
        <v>0</v>
      </c>
      <c r="M32" s="57">
        <f>對照日期貨三大法人!G21</f>
        <v>0</v>
      </c>
      <c r="N32" s="53" t="str">
        <f t="shared" si="10"/>
        <v/>
      </c>
      <c r="O32" s="57" t="str">
        <f t="shared" si="11"/>
        <v/>
      </c>
      <c r="P32" s="76">
        <f>對照日期貨三大法人!H21</f>
        <v>0</v>
      </c>
      <c r="Q32" s="76">
        <v>2000</v>
      </c>
      <c r="R32" s="76" t="str">
        <f t="shared" si="12"/>
        <v/>
      </c>
      <c r="S32" s="61">
        <f>對照日期貨三大法人!I21</f>
        <v>0</v>
      </c>
      <c r="T32" s="76">
        <f>對照日期貨三大法人!J21</f>
        <v>0</v>
      </c>
      <c r="U32" s="76">
        <v>2000</v>
      </c>
      <c r="V32" s="76" t="str">
        <f t="shared" si="13"/>
        <v/>
      </c>
      <c r="W32" s="61">
        <f>對照日期貨三大法人!K21</f>
        <v>0</v>
      </c>
      <c r="X32" s="77">
        <f>對照日期貨三大法人!L21</f>
        <v>0</v>
      </c>
      <c r="Y32" s="61">
        <f>對照日期貨三大法人!M21</f>
        <v>0</v>
      </c>
      <c r="Z32" s="77" t="str">
        <f t="shared" si="14"/>
        <v/>
      </c>
      <c r="AA32" s="61" t="str">
        <f t="shared" si="15"/>
        <v/>
      </c>
    </row>
    <row r="33" spans="2:27" ht="16.5" customHeight="1" x14ac:dyDescent="0.4">
      <c r="B33" s="110" t="s">
        <v>198</v>
      </c>
      <c r="C33" s="79" t="s">
        <v>186</v>
      </c>
      <c r="D33" s="36">
        <f>對照日期貨三大法人!D22</f>
        <v>13192</v>
      </c>
      <c r="E33" s="69">
        <v>1000</v>
      </c>
      <c r="F33" s="69">
        <f t="shared" si="8"/>
        <v>178.0378259551243</v>
      </c>
      <c r="G33" s="69">
        <f>對照日期貨三大法人!E22</f>
        <v>2348675</v>
      </c>
      <c r="H33" s="36">
        <f>對照日期貨三大法人!F22</f>
        <v>11072</v>
      </c>
      <c r="I33" s="69">
        <v>1000</v>
      </c>
      <c r="J33" s="69">
        <f t="shared" si="9"/>
        <v>195.06882225433526</v>
      </c>
      <c r="K33" s="69">
        <f>對照日期貨三大法人!G22</f>
        <v>2159802</v>
      </c>
      <c r="L33" s="36">
        <f>對照日期貨三大法人!H22</f>
        <v>2120</v>
      </c>
      <c r="M33" s="40">
        <f>對照日期貨三大法人!I22</f>
        <v>188873</v>
      </c>
      <c r="N33" s="36">
        <f t="shared" si="10"/>
        <v>178.0378259551243</v>
      </c>
      <c r="O33" s="40" t="str">
        <f t="shared" si="11"/>
        <v>做多期貨178</v>
      </c>
      <c r="P33" s="70">
        <f>對照日期貨三大法人!J22</f>
        <v>79388</v>
      </c>
      <c r="Q33" s="70">
        <v>1000</v>
      </c>
      <c r="R33" s="70">
        <f t="shared" si="12"/>
        <v>214.51524159822642</v>
      </c>
      <c r="S33" s="44">
        <f>對照日期貨三大法人!K22</f>
        <v>17029936</v>
      </c>
      <c r="T33" s="70">
        <f>對照日期貨三大法人!L22</f>
        <v>58196</v>
      </c>
      <c r="U33" s="70">
        <v>1000</v>
      </c>
      <c r="V33" s="70">
        <f t="shared" si="13"/>
        <v>140.42638669324353</v>
      </c>
      <c r="W33" s="44">
        <f>對照日期貨三大法人!M22</f>
        <v>8172254</v>
      </c>
      <c r="X33" s="71">
        <f>對照日期貨三大法人!N22</f>
        <v>21192</v>
      </c>
      <c r="Y33" s="44">
        <f>對照日期貨三大法人!O22</f>
        <v>8857682</v>
      </c>
      <c r="Z33" s="71">
        <f t="shared" si="14"/>
        <v>214.51524159822642</v>
      </c>
      <c r="AA33" s="44" t="str">
        <f t="shared" si="15"/>
        <v>做多期貨215</v>
      </c>
    </row>
    <row r="34" spans="2:27" x14ac:dyDescent="0.4">
      <c r="B34" s="111"/>
      <c r="C34" s="63" t="s">
        <v>187</v>
      </c>
      <c r="D34" s="45">
        <f>對照日期貨三大法人!B23</f>
        <v>0</v>
      </c>
      <c r="E34" s="72">
        <v>1000</v>
      </c>
      <c r="F34" s="72" t="str">
        <f t="shared" si="8"/>
        <v/>
      </c>
      <c r="G34" s="72">
        <f>對照日期貨三大法人!C23</f>
        <v>0</v>
      </c>
      <c r="H34" s="45">
        <f>對照日期貨三大法人!D23</f>
        <v>0</v>
      </c>
      <c r="I34" s="72">
        <v>1000</v>
      </c>
      <c r="J34" s="72" t="str">
        <f t="shared" si="9"/>
        <v/>
      </c>
      <c r="K34" s="72">
        <f>對照日期貨三大法人!E23</f>
        <v>0</v>
      </c>
      <c r="L34" s="45">
        <f>對照日期貨三大法人!F23</f>
        <v>0</v>
      </c>
      <c r="M34" s="49">
        <f>對照日期貨三大法人!G23</f>
        <v>0</v>
      </c>
      <c r="N34" s="45" t="str">
        <f t="shared" si="10"/>
        <v/>
      </c>
      <c r="O34" s="49" t="str">
        <f t="shared" si="11"/>
        <v/>
      </c>
      <c r="P34" s="73">
        <f>對照日期貨三大法人!H23</f>
        <v>0</v>
      </c>
      <c r="Q34" s="73">
        <v>1000</v>
      </c>
      <c r="R34" s="73" t="str">
        <f t="shared" si="12"/>
        <v/>
      </c>
      <c r="S34" s="52">
        <f>對照日期貨三大法人!I23</f>
        <v>0</v>
      </c>
      <c r="T34" s="73">
        <f>對照日期貨三大法人!J23</f>
        <v>0</v>
      </c>
      <c r="U34" s="73">
        <v>1000</v>
      </c>
      <c r="V34" s="73" t="str">
        <f t="shared" si="13"/>
        <v/>
      </c>
      <c r="W34" s="52">
        <f>對照日期貨三大法人!K23</f>
        <v>0</v>
      </c>
      <c r="X34" s="74">
        <f>對照日期貨三大法人!L23</f>
        <v>0</v>
      </c>
      <c r="Y34" s="52">
        <f>對照日期貨三大法人!M23</f>
        <v>0</v>
      </c>
      <c r="Z34" s="74" t="str">
        <f t="shared" si="14"/>
        <v/>
      </c>
      <c r="AA34" s="52" t="str">
        <f t="shared" si="15"/>
        <v/>
      </c>
    </row>
    <row r="35" spans="2:27" ht="17.5" thickBot="1" x14ac:dyDescent="0.45">
      <c r="B35" s="112"/>
      <c r="C35" s="80" t="s">
        <v>188</v>
      </c>
      <c r="D35" s="53">
        <f>對照日期貨三大法人!B24</f>
        <v>146188</v>
      </c>
      <c r="E35" s="75">
        <v>1000</v>
      </c>
      <c r="F35" s="75">
        <f t="shared" si="8"/>
        <v>214.10270336826554</v>
      </c>
      <c r="G35" s="75">
        <f>對照日期貨三大法人!C24</f>
        <v>31299246</v>
      </c>
      <c r="H35" s="53">
        <f>對照日期貨三大法人!D24</f>
        <v>139819</v>
      </c>
      <c r="I35" s="75">
        <v>1000</v>
      </c>
      <c r="J35" s="75">
        <f t="shared" si="9"/>
        <v>220.30642473483576</v>
      </c>
      <c r="K35" s="75">
        <f>對照日期貨三大法人!E24</f>
        <v>30803024</v>
      </c>
      <c r="L35" s="53">
        <f>對照日期貨三大法人!F24</f>
        <v>6369</v>
      </c>
      <c r="M35" s="57">
        <f>對照日期貨三大法人!G24</f>
        <v>496222</v>
      </c>
      <c r="N35" s="53">
        <f t="shared" si="10"/>
        <v>214.10270336826554</v>
      </c>
      <c r="O35" s="57" t="str">
        <f t="shared" si="11"/>
        <v>做多期貨214</v>
      </c>
      <c r="P35" s="76">
        <f>對照日期貨三大法人!H24</f>
        <v>80690</v>
      </c>
      <c r="Q35" s="76">
        <v>1000</v>
      </c>
      <c r="R35" s="76">
        <f t="shared" si="12"/>
        <v>337.34253315156775</v>
      </c>
      <c r="S35" s="61">
        <f>對照日期貨三大法人!I24</f>
        <v>27220169</v>
      </c>
      <c r="T35" s="76">
        <f>對照日期貨三大法人!J24</f>
        <v>300821</v>
      </c>
      <c r="U35" s="76">
        <v>1000</v>
      </c>
      <c r="V35" s="76">
        <f t="shared" si="13"/>
        <v>259.38877937378044</v>
      </c>
      <c r="W35" s="61">
        <f>對照日期貨三大法人!K24</f>
        <v>78029592</v>
      </c>
      <c r="X35" s="77">
        <f>對照日期貨三大法人!L24</f>
        <v>-220131</v>
      </c>
      <c r="Y35" s="61">
        <f>對照日期貨三大法人!M24</f>
        <v>-50809423</v>
      </c>
      <c r="Z35" s="77">
        <f t="shared" si="14"/>
        <v>259.38877937378044</v>
      </c>
      <c r="AA35" s="61" t="str">
        <f t="shared" si="15"/>
        <v>做空期貨259</v>
      </c>
    </row>
    <row r="36" spans="2:27" ht="16.5" customHeight="1" x14ac:dyDescent="0.4">
      <c r="B36" s="110" t="s">
        <v>199</v>
      </c>
      <c r="C36" s="79" t="s">
        <v>186</v>
      </c>
      <c r="D36" s="36">
        <f>對照日期貨三大法人!D25</f>
        <v>395</v>
      </c>
      <c r="E36" s="69">
        <v>4000</v>
      </c>
      <c r="F36" s="69">
        <f t="shared" si="8"/>
        <v>244.19113924050635</v>
      </c>
      <c r="G36" s="69">
        <f>對照日期貨三大法人!E25</f>
        <v>385822</v>
      </c>
      <c r="H36" s="36">
        <f>對照日期貨三大法人!F25</f>
        <v>390</v>
      </c>
      <c r="I36" s="69">
        <v>4000</v>
      </c>
      <c r="J36" s="69">
        <f t="shared" si="9"/>
        <v>195.65705128205127</v>
      </c>
      <c r="K36" s="69">
        <f>對照日期貨三大法人!G25</f>
        <v>305225</v>
      </c>
      <c r="L36" s="36">
        <f>對照日期貨三大法人!H25</f>
        <v>5</v>
      </c>
      <c r="M36" s="40">
        <f>對照日期貨三大法人!I25</f>
        <v>80597</v>
      </c>
      <c r="N36" s="36">
        <f t="shared" si="10"/>
        <v>244.19113924050635</v>
      </c>
      <c r="O36" s="40" t="str">
        <f t="shared" si="11"/>
        <v>做多期貨244</v>
      </c>
      <c r="P36" s="70">
        <f>對照日期貨三大法人!J25</f>
        <v>2366</v>
      </c>
      <c r="Q36" s="70">
        <v>4000</v>
      </c>
      <c r="R36" s="70">
        <f t="shared" si="12"/>
        <v>223.1090448013525</v>
      </c>
      <c r="S36" s="44">
        <f>對照日期貨三大法人!K25</f>
        <v>2111504</v>
      </c>
      <c r="T36" s="70">
        <f>對照日期貨三大法人!L25</f>
        <v>3049</v>
      </c>
      <c r="U36" s="70">
        <v>4000</v>
      </c>
      <c r="V36" s="70">
        <f t="shared" si="13"/>
        <v>130.53312561495574</v>
      </c>
      <c r="W36" s="44">
        <f>對照日期貨三大法人!M25</f>
        <v>1591982</v>
      </c>
      <c r="X36" s="71">
        <f>對照日期貨三大法人!N25</f>
        <v>-683</v>
      </c>
      <c r="Y36" s="44">
        <f>對照日期貨三大法人!O25</f>
        <v>519522</v>
      </c>
      <c r="Z36" s="71">
        <f t="shared" si="14"/>
        <v>130.53312561495574</v>
      </c>
      <c r="AA36" s="44" t="str">
        <f t="shared" si="15"/>
        <v>做空期貨131</v>
      </c>
    </row>
    <row r="37" spans="2:27" x14ac:dyDescent="0.4">
      <c r="B37" s="111"/>
      <c r="C37" s="63" t="s">
        <v>187</v>
      </c>
      <c r="D37" s="45">
        <f>對照日期貨三大法人!B26</f>
        <v>0</v>
      </c>
      <c r="E37" s="72">
        <v>4000</v>
      </c>
      <c r="F37" s="72" t="str">
        <f t="shared" si="8"/>
        <v/>
      </c>
      <c r="G37" s="72">
        <f>對照日期貨三大法人!C26</f>
        <v>0</v>
      </c>
      <c r="H37" s="45">
        <f>對照日期貨三大法人!D26</f>
        <v>0</v>
      </c>
      <c r="I37" s="72">
        <v>4000</v>
      </c>
      <c r="J37" s="72" t="str">
        <f t="shared" si="9"/>
        <v/>
      </c>
      <c r="K37" s="72">
        <f>對照日期貨三大法人!E26</f>
        <v>0</v>
      </c>
      <c r="L37" s="45">
        <f>對照日期貨三大法人!F26</f>
        <v>0</v>
      </c>
      <c r="M37" s="49">
        <f>對照日期貨三大法人!G26</f>
        <v>0</v>
      </c>
      <c r="N37" s="45" t="str">
        <f t="shared" si="10"/>
        <v/>
      </c>
      <c r="O37" s="49" t="str">
        <f t="shared" si="11"/>
        <v/>
      </c>
      <c r="P37" s="73">
        <f>對照日期貨三大法人!H26</f>
        <v>4972</v>
      </c>
      <c r="Q37" s="73">
        <v>4000</v>
      </c>
      <c r="R37" s="73">
        <f t="shared" si="12"/>
        <v>244.65220233306516</v>
      </c>
      <c r="S37" s="52">
        <f>對照日期貨三大法人!I26</f>
        <v>4865643</v>
      </c>
      <c r="T37" s="73">
        <f>對照日期貨三大法人!J26</f>
        <v>3792</v>
      </c>
      <c r="U37" s="73">
        <v>4000</v>
      </c>
      <c r="V37" s="73">
        <f t="shared" si="13"/>
        <v>318.14148206751054</v>
      </c>
      <c r="W37" s="52">
        <f>對照日期貨三大法人!K26</f>
        <v>4825570</v>
      </c>
      <c r="X37" s="74">
        <f>對照日期貨三大法人!L26</f>
        <v>1180</v>
      </c>
      <c r="Y37" s="52">
        <f>對照日期貨三大法人!M26</f>
        <v>40073</v>
      </c>
      <c r="Z37" s="74">
        <f t="shared" si="14"/>
        <v>244.65220233306516</v>
      </c>
      <c r="AA37" s="52" t="str">
        <f t="shared" si="15"/>
        <v>做多期貨245</v>
      </c>
    </row>
    <row r="38" spans="2:27" ht="17.5" thickBot="1" x14ac:dyDescent="0.45">
      <c r="B38" s="112"/>
      <c r="C38" s="80" t="s">
        <v>188</v>
      </c>
      <c r="D38" s="53">
        <f>對照日期貨三大法人!B27</f>
        <v>890</v>
      </c>
      <c r="E38" s="75">
        <v>4000</v>
      </c>
      <c r="F38" s="75">
        <f t="shared" si="8"/>
        <v>269.69578651685396</v>
      </c>
      <c r="G38" s="75">
        <f>對照日期貨三大法人!C27</f>
        <v>960117</v>
      </c>
      <c r="H38" s="53">
        <f>對照日期貨三大法人!D27</f>
        <v>811</v>
      </c>
      <c r="I38" s="75">
        <v>4000</v>
      </c>
      <c r="J38" s="75">
        <f t="shared" si="9"/>
        <v>313.69081381011097</v>
      </c>
      <c r="K38" s="75">
        <f>對照日期貨三大法人!E27</f>
        <v>1017613</v>
      </c>
      <c r="L38" s="53">
        <f>對照日期貨三大法人!F27</f>
        <v>79</v>
      </c>
      <c r="M38" s="57">
        <f>對照日期貨三大法人!G27</f>
        <v>-57495</v>
      </c>
      <c r="N38" s="53">
        <f t="shared" si="10"/>
        <v>269.69578651685396</v>
      </c>
      <c r="O38" s="57" t="str">
        <f t="shared" si="11"/>
        <v>做多期貨270</v>
      </c>
      <c r="P38" s="76">
        <f>對照日期貨三大法人!H27</f>
        <v>3216</v>
      </c>
      <c r="Q38" s="76">
        <v>4000</v>
      </c>
      <c r="R38" s="76">
        <f t="shared" si="12"/>
        <v>323.18788868159203</v>
      </c>
      <c r="S38" s="61">
        <f>對照日期貨三大法人!I27</f>
        <v>4157489</v>
      </c>
      <c r="T38" s="76">
        <f>對照日期貨三大法人!J27</f>
        <v>4959</v>
      </c>
      <c r="U38" s="76">
        <v>4000</v>
      </c>
      <c r="V38" s="76">
        <f t="shared" si="13"/>
        <v>291.76164549304292</v>
      </c>
      <c r="W38" s="61">
        <f>對照日期貨三大法人!K27</f>
        <v>5787384</v>
      </c>
      <c r="X38" s="77">
        <f>對照日期貨三大法人!L27</f>
        <v>-1743</v>
      </c>
      <c r="Y38" s="61">
        <f>對照日期貨三大法人!M27</f>
        <v>-1629895</v>
      </c>
      <c r="Z38" s="77">
        <f t="shared" si="14"/>
        <v>291.76164549304292</v>
      </c>
      <c r="AA38" s="61" t="str">
        <f t="shared" si="15"/>
        <v>做空期貨292</v>
      </c>
    </row>
    <row r="39" spans="2:27" ht="16.5" customHeight="1" x14ac:dyDescent="0.4">
      <c r="B39" s="110" t="s">
        <v>200</v>
      </c>
      <c r="C39" s="79" t="s">
        <v>186</v>
      </c>
      <c r="D39" s="36">
        <f>對照日期貨三大法人!D28</f>
        <v>39</v>
      </c>
      <c r="E39" s="69">
        <v>100</v>
      </c>
      <c r="F39" s="69">
        <f t="shared" si="8"/>
        <v>7887.6923076923076</v>
      </c>
      <c r="G39" s="69">
        <f>對照日期貨三大法人!E28</f>
        <v>30762</v>
      </c>
      <c r="H39" s="36">
        <f>對照日期貨三大法人!F28</f>
        <v>37</v>
      </c>
      <c r="I39" s="69">
        <v>100</v>
      </c>
      <c r="J39" s="69">
        <f t="shared" si="9"/>
        <v>7886.7567567567567</v>
      </c>
      <c r="K39" s="69">
        <f>對照日期貨三大法人!G28</f>
        <v>29181</v>
      </c>
      <c r="L39" s="36">
        <f>對照日期貨三大法人!H28</f>
        <v>2</v>
      </c>
      <c r="M39" s="40">
        <f>對照日期貨三大法人!I28</f>
        <v>1581</v>
      </c>
      <c r="N39" s="36">
        <f t="shared" si="10"/>
        <v>7887.6923076923076</v>
      </c>
      <c r="O39" s="40" t="str">
        <f t="shared" si="11"/>
        <v>做多期貨7888</v>
      </c>
      <c r="P39" s="70">
        <f>對照日期貨三大法人!J28</f>
        <v>8</v>
      </c>
      <c r="Q39" s="70">
        <v>100</v>
      </c>
      <c r="R39" s="70">
        <f t="shared" si="12"/>
        <v>7870</v>
      </c>
      <c r="S39" s="44">
        <f>對照日期貨三大法人!K28</f>
        <v>6296</v>
      </c>
      <c r="T39" s="70">
        <f>對照日期貨三大法人!L28</f>
        <v>80</v>
      </c>
      <c r="U39" s="70">
        <v>100</v>
      </c>
      <c r="V39" s="70">
        <f t="shared" si="13"/>
        <v>7879.5</v>
      </c>
      <c r="W39" s="44">
        <f>對照日期貨三大法人!M28</f>
        <v>63036</v>
      </c>
      <c r="X39" s="71">
        <f>對照日期貨三大法人!N28</f>
        <v>-72</v>
      </c>
      <c r="Y39" s="44">
        <f>對照日期貨三大法人!O28</f>
        <v>-56740</v>
      </c>
      <c r="Z39" s="71">
        <f t="shared" si="14"/>
        <v>7879.5</v>
      </c>
      <c r="AA39" s="44" t="str">
        <f t="shared" si="15"/>
        <v>做空期貨7880</v>
      </c>
    </row>
    <row r="40" spans="2:27" x14ac:dyDescent="0.4">
      <c r="B40" s="111"/>
      <c r="C40" s="63" t="s">
        <v>187</v>
      </c>
      <c r="D40" s="45">
        <f>對照日期貨三大法人!B29</f>
        <v>0</v>
      </c>
      <c r="E40" s="72">
        <v>100</v>
      </c>
      <c r="F40" s="72" t="str">
        <f t="shared" si="8"/>
        <v/>
      </c>
      <c r="G40" s="72">
        <f>對照日期貨三大法人!C29</f>
        <v>0</v>
      </c>
      <c r="H40" s="45">
        <f>對照日期貨三大法人!D29</f>
        <v>0</v>
      </c>
      <c r="I40" s="72">
        <v>100</v>
      </c>
      <c r="J40" s="72" t="str">
        <f t="shared" si="9"/>
        <v/>
      </c>
      <c r="K40" s="72">
        <f>對照日期貨三大法人!E29</f>
        <v>0</v>
      </c>
      <c r="L40" s="45">
        <f>對照日期貨三大法人!F29</f>
        <v>0</v>
      </c>
      <c r="M40" s="49">
        <f>對照日期貨三大法人!G29</f>
        <v>0</v>
      </c>
      <c r="N40" s="45" t="str">
        <f t="shared" si="10"/>
        <v/>
      </c>
      <c r="O40" s="49" t="str">
        <f t="shared" si="11"/>
        <v/>
      </c>
      <c r="P40" s="73">
        <f>對照日期貨三大法人!H29</f>
        <v>0</v>
      </c>
      <c r="Q40" s="73">
        <v>100</v>
      </c>
      <c r="R40" s="73" t="str">
        <f t="shared" si="12"/>
        <v/>
      </c>
      <c r="S40" s="52">
        <f>對照日期貨三大法人!I29</f>
        <v>0</v>
      </c>
      <c r="T40" s="73">
        <f>對照日期貨三大法人!J29</f>
        <v>0</v>
      </c>
      <c r="U40" s="73">
        <v>100</v>
      </c>
      <c r="V40" s="73" t="str">
        <f t="shared" si="13"/>
        <v/>
      </c>
      <c r="W40" s="52">
        <f>對照日期貨三大法人!K29</f>
        <v>0</v>
      </c>
      <c r="X40" s="74">
        <f>對照日期貨三大法人!L29</f>
        <v>0</v>
      </c>
      <c r="Y40" s="52">
        <f>對照日期貨三大法人!M29</f>
        <v>0</v>
      </c>
      <c r="Z40" s="74" t="str">
        <f t="shared" si="14"/>
        <v/>
      </c>
      <c r="AA40" s="52" t="str">
        <f t="shared" si="15"/>
        <v/>
      </c>
    </row>
    <row r="41" spans="2:27" ht="17.5" thickBot="1" x14ac:dyDescent="0.45">
      <c r="B41" s="112"/>
      <c r="C41" s="80" t="s">
        <v>188</v>
      </c>
      <c r="D41" s="53">
        <f>對照日期貨三大法人!B30</f>
        <v>0</v>
      </c>
      <c r="E41" s="75">
        <v>100</v>
      </c>
      <c r="F41" s="75" t="str">
        <f t="shared" si="8"/>
        <v/>
      </c>
      <c r="G41" s="75">
        <f>對照日期貨三大法人!C30</f>
        <v>0</v>
      </c>
      <c r="H41" s="53">
        <f>對照日期貨三大法人!D30</f>
        <v>0</v>
      </c>
      <c r="I41" s="75">
        <v>100</v>
      </c>
      <c r="J41" s="75" t="str">
        <f t="shared" si="9"/>
        <v/>
      </c>
      <c r="K41" s="75">
        <f>對照日期貨三大法人!E30</f>
        <v>0</v>
      </c>
      <c r="L41" s="53">
        <f>對照日期貨三大法人!F30</f>
        <v>0</v>
      </c>
      <c r="M41" s="57">
        <f>對照日期貨三大法人!G30</f>
        <v>0</v>
      </c>
      <c r="N41" s="53" t="str">
        <f t="shared" si="10"/>
        <v/>
      </c>
      <c r="O41" s="57" t="str">
        <f t="shared" si="11"/>
        <v/>
      </c>
      <c r="P41" s="76">
        <f>對照日期貨三大法人!H30</f>
        <v>0</v>
      </c>
      <c r="Q41" s="76">
        <v>100</v>
      </c>
      <c r="R41" s="76" t="str">
        <f t="shared" si="12"/>
        <v/>
      </c>
      <c r="S41" s="61">
        <f>對照日期貨三大法人!I30</f>
        <v>0</v>
      </c>
      <c r="T41" s="76">
        <f>對照日期貨三大法人!J30</f>
        <v>0</v>
      </c>
      <c r="U41" s="76">
        <v>100</v>
      </c>
      <c r="V41" s="76" t="str">
        <f t="shared" si="13"/>
        <v/>
      </c>
      <c r="W41" s="61">
        <f>對照日期貨三大法人!K30</f>
        <v>0</v>
      </c>
      <c r="X41" s="77">
        <f>對照日期貨三大法人!L30</f>
        <v>0</v>
      </c>
      <c r="Y41" s="61">
        <f>對照日期貨三大法人!M30</f>
        <v>0</v>
      </c>
      <c r="Z41" s="77" t="str">
        <f t="shared" si="14"/>
        <v/>
      </c>
      <c r="AA41" s="61" t="str">
        <f t="shared" si="15"/>
        <v/>
      </c>
    </row>
    <row r="42" spans="2:27" ht="16.5" customHeight="1" x14ac:dyDescent="0.4">
      <c r="B42" s="110" t="s">
        <v>201</v>
      </c>
      <c r="C42" s="79" t="s">
        <v>186</v>
      </c>
      <c r="D42" s="36">
        <f>對照日期貨三大法人!D31</f>
        <v>22</v>
      </c>
      <c r="E42" s="69">
        <v>50</v>
      </c>
      <c r="F42" s="69">
        <f t="shared" si="8"/>
        <v>32178.181818181816</v>
      </c>
      <c r="G42" s="69">
        <f>對照日期貨三大法人!E31</f>
        <v>35396</v>
      </c>
      <c r="H42" s="36">
        <f>對照日期貨三大法人!F31</f>
        <v>26</v>
      </c>
      <c r="I42" s="69">
        <v>50</v>
      </c>
      <c r="J42" s="69">
        <f t="shared" si="9"/>
        <v>32144.615384615387</v>
      </c>
      <c r="K42" s="69">
        <f>對照日期貨三大法人!G31</f>
        <v>41788</v>
      </c>
      <c r="L42" s="36">
        <f>對照日期貨三大法人!H31</f>
        <v>-4</v>
      </c>
      <c r="M42" s="40">
        <f>對照日期貨三大法人!I31</f>
        <v>-6392</v>
      </c>
      <c r="N42" s="36">
        <f t="shared" si="10"/>
        <v>32144.615384615387</v>
      </c>
      <c r="O42" s="40" t="str">
        <f t="shared" si="11"/>
        <v>做空期貨32145</v>
      </c>
      <c r="P42" s="70">
        <f>對照日期貨三大法人!J31</f>
        <v>203</v>
      </c>
      <c r="Q42" s="70">
        <v>50</v>
      </c>
      <c r="R42" s="70">
        <f t="shared" si="12"/>
        <v>31899.310344827583</v>
      </c>
      <c r="S42" s="44">
        <f>對照日期貨三大法人!K31</f>
        <v>323778</v>
      </c>
      <c r="T42" s="70">
        <f>對照日期貨三大法人!L31</f>
        <v>34</v>
      </c>
      <c r="U42" s="70">
        <v>50</v>
      </c>
      <c r="V42" s="70">
        <f t="shared" si="13"/>
        <v>31876.470588235297</v>
      </c>
      <c r="W42" s="44">
        <f>對照日期貨三大法人!M31</f>
        <v>54190</v>
      </c>
      <c r="X42" s="71">
        <f>對照日期貨三大法人!N31</f>
        <v>169</v>
      </c>
      <c r="Y42" s="44">
        <f>對照日期貨三大法人!O31</f>
        <v>269588</v>
      </c>
      <c r="Z42" s="71">
        <f t="shared" si="14"/>
        <v>31899.310344827583</v>
      </c>
      <c r="AA42" s="44" t="str">
        <f t="shared" si="15"/>
        <v>做多期貨31899</v>
      </c>
    </row>
    <row r="43" spans="2:27" x14ac:dyDescent="0.4">
      <c r="B43" s="111"/>
      <c r="C43" s="63" t="s">
        <v>187</v>
      </c>
      <c r="D43" s="45">
        <f>對照日期貨三大法人!B32</f>
        <v>0</v>
      </c>
      <c r="E43" s="72">
        <v>50</v>
      </c>
      <c r="F43" s="72" t="str">
        <f t="shared" si="8"/>
        <v/>
      </c>
      <c r="G43" s="72">
        <f>對照日期貨三大法人!C32</f>
        <v>0</v>
      </c>
      <c r="H43" s="45">
        <f>對照日期貨三大法人!D32</f>
        <v>0</v>
      </c>
      <c r="I43" s="72">
        <v>50</v>
      </c>
      <c r="J43" s="72" t="str">
        <f t="shared" si="9"/>
        <v/>
      </c>
      <c r="K43" s="72">
        <f>對照日期貨三大法人!E32</f>
        <v>0</v>
      </c>
      <c r="L43" s="45">
        <f>對照日期貨三大法人!F32</f>
        <v>0</v>
      </c>
      <c r="M43" s="49">
        <f>對照日期貨三大法人!G32</f>
        <v>0</v>
      </c>
      <c r="N43" s="45" t="str">
        <f t="shared" si="10"/>
        <v/>
      </c>
      <c r="O43" s="49" t="str">
        <f t="shared" si="11"/>
        <v/>
      </c>
      <c r="P43" s="73">
        <f>對照日期貨三大法人!H32</f>
        <v>2</v>
      </c>
      <c r="Q43" s="73">
        <v>50</v>
      </c>
      <c r="R43" s="73">
        <f t="shared" si="12"/>
        <v>31900</v>
      </c>
      <c r="S43" s="52">
        <f>對照日期貨三大法人!I32</f>
        <v>3190</v>
      </c>
      <c r="T43" s="73">
        <f>對照日期貨三大法人!J32</f>
        <v>0</v>
      </c>
      <c r="U43" s="73">
        <v>50</v>
      </c>
      <c r="V43" s="73" t="str">
        <f t="shared" si="13"/>
        <v/>
      </c>
      <c r="W43" s="52">
        <f>對照日期貨三大法人!K32</f>
        <v>0</v>
      </c>
      <c r="X43" s="74">
        <f>對照日期貨三大法人!L32</f>
        <v>2</v>
      </c>
      <c r="Y43" s="52">
        <f>對照日期貨三大法人!M32</f>
        <v>3190</v>
      </c>
      <c r="Z43" s="74">
        <f t="shared" si="14"/>
        <v>31900</v>
      </c>
      <c r="AA43" s="52" t="str">
        <f t="shared" si="15"/>
        <v>做多期貨31900</v>
      </c>
    </row>
    <row r="44" spans="2:27" ht="17.5" thickBot="1" x14ac:dyDescent="0.45">
      <c r="B44" s="112"/>
      <c r="C44" s="80" t="s">
        <v>188</v>
      </c>
      <c r="D44" s="53">
        <f>對照日期貨三大法人!B33</f>
        <v>40</v>
      </c>
      <c r="E44" s="75">
        <v>50</v>
      </c>
      <c r="F44" s="75">
        <f t="shared" si="8"/>
        <v>32228.5</v>
      </c>
      <c r="G44" s="75">
        <f>對照日期貨三大法人!C33</f>
        <v>64457</v>
      </c>
      <c r="H44" s="53">
        <f>對照日期貨三大法人!D33</f>
        <v>41</v>
      </c>
      <c r="I44" s="75">
        <v>50</v>
      </c>
      <c r="J44" s="75">
        <f t="shared" si="9"/>
        <v>32230.243902439022</v>
      </c>
      <c r="K44" s="75">
        <f>對照日期貨三大法人!E33</f>
        <v>66072</v>
      </c>
      <c r="L44" s="53">
        <f>對照日期貨三大法人!F33</f>
        <v>-1</v>
      </c>
      <c r="M44" s="57">
        <f>對照日期貨三大法人!G33</f>
        <v>-1615</v>
      </c>
      <c r="N44" s="53">
        <f t="shared" si="10"/>
        <v>32230.243902439022</v>
      </c>
      <c r="O44" s="57" t="str">
        <f t="shared" si="11"/>
        <v>做空期貨32230</v>
      </c>
      <c r="P44" s="76">
        <f>對照日期貨三大法人!H33</f>
        <v>4</v>
      </c>
      <c r="Q44" s="76">
        <v>50</v>
      </c>
      <c r="R44" s="76">
        <f t="shared" si="12"/>
        <v>31900</v>
      </c>
      <c r="S44" s="61">
        <f>對照日期貨三大法人!I33</f>
        <v>6380</v>
      </c>
      <c r="T44" s="76">
        <f>對照日期貨三大法人!J33</f>
        <v>211</v>
      </c>
      <c r="U44" s="76">
        <v>50</v>
      </c>
      <c r="V44" s="76">
        <f t="shared" si="13"/>
        <v>31900</v>
      </c>
      <c r="W44" s="61">
        <f>對照日期貨三大法人!K33</f>
        <v>336545</v>
      </c>
      <c r="X44" s="77">
        <f>對照日期貨三大法人!L33</f>
        <v>-207</v>
      </c>
      <c r="Y44" s="61">
        <f>對照日期貨三大法人!M33</f>
        <v>-330165</v>
      </c>
      <c r="Z44" s="77">
        <f t="shared" si="14"/>
        <v>31900</v>
      </c>
      <c r="AA44" s="61" t="str">
        <f t="shared" si="15"/>
        <v>做空期貨31900</v>
      </c>
    </row>
    <row r="45" spans="2:27" ht="16.5" customHeight="1" x14ac:dyDescent="0.4">
      <c r="B45" s="110" t="s">
        <v>202</v>
      </c>
      <c r="C45" s="79" t="s">
        <v>186</v>
      </c>
      <c r="D45" s="36">
        <f>對照日期貨三大法人!D34</f>
        <v>40</v>
      </c>
      <c r="E45" s="69">
        <v>100</v>
      </c>
      <c r="F45" s="69">
        <f t="shared" si="8"/>
        <v>4198.75</v>
      </c>
      <c r="G45" s="69">
        <f>對照日期貨三大法人!E34</f>
        <v>16795</v>
      </c>
      <c r="H45" s="36">
        <f>對照日期貨三大法人!F34</f>
        <v>48</v>
      </c>
      <c r="I45" s="69">
        <v>100</v>
      </c>
      <c r="J45" s="69">
        <f t="shared" si="9"/>
        <v>4192.708333333333</v>
      </c>
      <c r="K45" s="69">
        <f>對照日期貨三大法人!G34</f>
        <v>20125</v>
      </c>
      <c r="L45" s="36">
        <f>對照日期貨三大法人!H34</f>
        <v>-8</v>
      </c>
      <c r="M45" s="40">
        <f>對照日期貨三大法人!I34</f>
        <v>-3330</v>
      </c>
      <c r="N45" s="36">
        <f t="shared" si="10"/>
        <v>4192.708333333333</v>
      </c>
      <c r="O45" s="40" t="str">
        <f t="shared" si="11"/>
        <v>做空期貨4193</v>
      </c>
      <c r="P45" s="70">
        <f>對照日期貨三大法人!J34</f>
        <v>52</v>
      </c>
      <c r="Q45" s="70">
        <v>100</v>
      </c>
      <c r="R45" s="70">
        <f t="shared" si="12"/>
        <v>4168.2692307692305</v>
      </c>
      <c r="S45" s="44">
        <f>對照日期貨三大法人!K34</f>
        <v>21675</v>
      </c>
      <c r="T45" s="70">
        <f>對照日期貨三大法人!L34</f>
        <v>55</v>
      </c>
      <c r="U45" s="70">
        <v>100</v>
      </c>
      <c r="V45" s="70">
        <f t="shared" si="13"/>
        <v>4165.636363636364</v>
      </c>
      <c r="W45" s="44">
        <f>對照日期貨三大法人!M34</f>
        <v>22911</v>
      </c>
      <c r="X45" s="71">
        <f>對照日期貨三大法人!N34</f>
        <v>-3</v>
      </c>
      <c r="Y45" s="44">
        <f>對照日期貨三大法人!O34</f>
        <v>-1236</v>
      </c>
      <c r="Z45" s="71">
        <f t="shared" si="14"/>
        <v>4165.636363636364</v>
      </c>
      <c r="AA45" s="44" t="str">
        <f t="shared" si="15"/>
        <v>做空期貨4166</v>
      </c>
    </row>
    <row r="46" spans="2:27" x14ac:dyDescent="0.4">
      <c r="B46" s="111"/>
      <c r="C46" s="63" t="s">
        <v>187</v>
      </c>
      <c r="D46" s="45">
        <f>對照日期貨三大法人!B35</f>
        <v>0</v>
      </c>
      <c r="E46" s="72">
        <v>100</v>
      </c>
      <c r="F46" s="72" t="str">
        <f t="shared" si="8"/>
        <v/>
      </c>
      <c r="G46" s="72">
        <f>對照日期貨三大法人!C35</f>
        <v>0</v>
      </c>
      <c r="H46" s="45">
        <f>對照日期貨三大法人!D35</f>
        <v>0</v>
      </c>
      <c r="I46" s="72">
        <v>100</v>
      </c>
      <c r="J46" s="72" t="str">
        <f t="shared" si="9"/>
        <v/>
      </c>
      <c r="K46" s="72">
        <f>對照日期貨三大法人!E35</f>
        <v>0</v>
      </c>
      <c r="L46" s="45">
        <f>對照日期貨三大法人!F35</f>
        <v>0</v>
      </c>
      <c r="M46" s="49">
        <f>對照日期貨三大法人!G35</f>
        <v>0</v>
      </c>
      <c r="N46" s="45" t="str">
        <f t="shared" si="10"/>
        <v/>
      </c>
      <c r="O46" s="49" t="str">
        <f t="shared" si="11"/>
        <v/>
      </c>
      <c r="P46" s="73">
        <f>對照日期貨三大法人!H35</f>
        <v>30</v>
      </c>
      <c r="Q46" s="73">
        <v>100</v>
      </c>
      <c r="R46" s="73">
        <f t="shared" si="12"/>
        <v>4169.666666666667</v>
      </c>
      <c r="S46" s="52">
        <f>對照日期貨三大法人!I35</f>
        <v>12509</v>
      </c>
      <c r="T46" s="73">
        <f>對照日期貨三大法人!J35</f>
        <v>0</v>
      </c>
      <c r="U46" s="73">
        <v>100</v>
      </c>
      <c r="V46" s="73" t="str">
        <f t="shared" si="13"/>
        <v/>
      </c>
      <c r="W46" s="52">
        <f>對照日期貨三大法人!K35</f>
        <v>0</v>
      </c>
      <c r="X46" s="74">
        <f>對照日期貨三大法人!L35</f>
        <v>30</v>
      </c>
      <c r="Y46" s="52">
        <f>對照日期貨三大法人!M35</f>
        <v>12509</v>
      </c>
      <c r="Z46" s="74">
        <f t="shared" si="14"/>
        <v>4169.666666666667</v>
      </c>
      <c r="AA46" s="52" t="str">
        <f t="shared" si="15"/>
        <v>做多期貨4170</v>
      </c>
    </row>
    <row r="47" spans="2:27" ht="17.5" thickBot="1" x14ac:dyDescent="0.45">
      <c r="B47" s="112"/>
      <c r="C47" s="80" t="s">
        <v>188</v>
      </c>
      <c r="D47" s="53">
        <f>對照日期貨三大法人!B36</f>
        <v>0</v>
      </c>
      <c r="E47" s="75">
        <v>100</v>
      </c>
      <c r="F47" s="75" t="str">
        <f t="shared" si="8"/>
        <v/>
      </c>
      <c r="G47" s="75">
        <f>對照日期貨三大法人!C36</f>
        <v>0</v>
      </c>
      <c r="H47" s="53">
        <f>對照日期貨三大法人!D36</f>
        <v>9</v>
      </c>
      <c r="I47" s="75">
        <v>100</v>
      </c>
      <c r="J47" s="75">
        <f t="shared" si="9"/>
        <v>4204.4444444444443</v>
      </c>
      <c r="K47" s="75">
        <f>對照日期貨三大法人!E36</f>
        <v>3784</v>
      </c>
      <c r="L47" s="53">
        <f>對照日期貨三大法人!F36</f>
        <v>-9</v>
      </c>
      <c r="M47" s="57">
        <f>對照日期貨三大法人!G36</f>
        <v>-3784</v>
      </c>
      <c r="N47" s="53">
        <f t="shared" si="10"/>
        <v>4204.4444444444443</v>
      </c>
      <c r="O47" s="57" t="str">
        <f t="shared" si="11"/>
        <v>做空期貨4204</v>
      </c>
      <c r="P47" s="76">
        <f>對照日期貨三大法人!H36</f>
        <v>0</v>
      </c>
      <c r="Q47" s="76">
        <v>100</v>
      </c>
      <c r="R47" s="76" t="str">
        <f t="shared" si="12"/>
        <v/>
      </c>
      <c r="S47" s="61">
        <f>對照日期貨三大法人!I36</f>
        <v>0</v>
      </c>
      <c r="T47" s="76">
        <f>對照日期貨三大法人!J36</f>
        <v>41</v>
      </c>
      <c r="U47" s="76">
        <v>100</v>
      </c>
      <c r="V47" s="76">
        <f t="shared" si="13"/>
        <v>4169.5121951219508</v>
      </c>
      <c r="W47" s="61">
        <f>對照日期貨三大法人!K36</f>
        <v>17095</v>
      </c>
      <c r="X47" s="77">
        <f>對照日期貨三大法人!L36</f>
        <v>-41</v>
      </c>
      <c r="Y47" s="61">
        <f>對照日期貨三大法人!M36</f>
        <v>-17095</v>
      </c>
      <c r="Z47" s="77">
        <f t="shared" si="14"/>
        <v>4169.5121951219508</v>
      </c>
      <c r="AA47" s="61" t="str">
        <f t="shared" si="15"/>
        <v>做空期貨4170</v>
      </c>
    </row>
    <row r="48" spans="2:27" ht="16.5" customHeight="1" x14ac:dyDescent="0.4">
      <c r="B48" s="110" t="s">
        <v>203</v>
      </c>
      <c r="C48" s="79" t="s">
        <v>186</v>
      </c>
      <c r="D48" s="36">
        <f>對照日期貨三大法人!D37</f>
        <v>0</v>
      </c>
      <c r="E48" s="69">
        <v>50</v>
      </c>
      <c r="F48" s="69" t="str">
        <f t="shared" si="8"/>
        <v/>
      </c>
      <c r="G48" s="69">
        <f>對照日期貨三大法人!E37</f>
        <v>0</v>
      </c>
      <c r="H48" s="36">
        <f>對照日期貨三大法人!F37</f>
        <v>0</v>
      </c>
      <c r="I48" s="69">
        <v>50</v>
      </c>
      <c r="J48" s="69" t="str">
        <f t="shared" si="9"/>
        <v/>
      </c>
      <c r="K48" s="69">
        <f>對照日期貨三大法人!G37</f>
        <v>0</v>
      </c>
      <c r="L48" s="36">
        <f>對照日期貨三大法人!H37</f>
        <v>0</v>
      </c>
      <c r="M48" s="40">
        <f>對照日期貨三大法人!I37</f>
        <v>0</v>
      </c>
      <c r="N48" s="36" t="str">
        <f t="shared" si="10"/>
        <v/>
      </c>
      <c r="O48" s="40" t="str">
        <f t="shared" si="11"/>
        <v/>
      </c>
      <c r="P48" s="70">
        <f>對照日期貨三大法人!J37</f>
        <v>0</v>
      </c>
      <c r="Q48" s="70">
        <v>50</v>
      </c>
      <c r="R48" s="70" t="str">
        <f t="shared" si="12"/>
        <v/>
      </c>
      <c r="S48" s="44">
        <f>對照日期貨三大法人!K37</f>
        <v>0</v>
      </c>
      <c r="T48" s="70">
        <f>對照日期貨三大法人!L37</f>
        <v>38</v>
      </c>
      <c r="U48" s="70">
        <v>50</v>
      </c>
      <c r="V48" s="70">
        <f t="shared" si="13"/>
        <v>16577.36842105263</v>
      </c>
      <c r="W48" s="44">
        <f>對照日期貨三大法人!M37</f>
        <v>31497</v>
      </c>
      <c r="X48" s="71">
        <f>對照日期貨三大法人!N37</f>
        <v>-38</v>
      </c>
      <c r="Y48" s="44">
        <f>對照日期貨三大法人!O37</f>
        <v>-31497</v>
      </c>
      <c r="Z48" s="71">
        <f t="shared" si="14"/>
        <v>16577.36842105263</v>
      </c>
      <c r="AA48" s="44" t="str">
        <f t="shared" si="15"/>
        <v>做空期貨16577</v>
      </c>
    </row>
    <row r="49" spans="1:27" x14ac:dyDescent="0.4">
      <c r="B49" s="111"/>
      <c r="C49" s="63" t="s">
        <v>187</v>
      </c>
      <c r="D49" s="45">
        <f>對照日期貨三大法人!B38</f>
        <v>0</v>
      </c>
      <c r="E49" s="72">
        <v>50</v>
      </c>
      <c r="F49" s="72" t="str">
        <f t="shared" si="8"/>
        <v/>
      </c>
      <c r="G49" s="72">
        <f>對照日期貨三大法人!C38</f>
        <v>0</v>
      </c>
      <c r="H49" s="45">
        <f>對照日期貨三大法人!D38</f>
        <v>0</v>
      </c>
      <c r="I49" s="72">
        <v>50</v>
      </c>
      <c r="J49" s="72" t="str">
        <f t="shared" si="9"/>
        <v/>
      </c>
      <c r="K49" s="72">
        <f>對照日期貨三大法人!E38</f>
        <v>0</v>
      </c>
      <c r="L49" s="45">
        <f>對照日期貨三大法人!F38</f>
        <v>0</v>
      </c>
      <c r="M49" s="49">
        <f>對照日期貨三大法人!G38</f>
        <v>0</v>
      </c>
      <c r="N49" s="45" t="str">
        <f t="shared" si="10"/>
        <v/>
      </c>
      <c r="O49" s="49" t="str">
        <f t="shared" si="11"/>
        <v/>
      </c>
      <c r="P49" s="73">
        <f>對照日期貨三大法人!H38</f>
        <v>35</v>
      </c>
      <c r="Q49" s="73">
        <v>50</v>
      </c>
      <c r="R49" s="73">
        <f t="shared" si="12"/>
        <v>16578.285714285714</v>
      </c>
      <c r="S49" s="52">
        <f>對照日期貨三大法人!I38</f>
        <v>29012</v>
      </c>
      <c r="T49" s="73">
        <f>對照日期貨三大法人!J38</f>
        <v>0</v>
      </c>
      <c r="U49" s="73">
        <v>50</v>
      </c>
      <c r="V49" s="73" t="str">
        <f t="shared" si="13"/>
        <v/>
      </c>
      <c r="W49" s="52">
        <f>對照日期貨三大法人!K38</f>
        <v>0</v>
      </c>
      <c r="X49" s="74">
        <f>對照日期貨三大法人!L38</f>
        <v>35</v>
      </c>
      <c r="Y49" s="52">
        <f>對照日期貨三大法人!M38</f>
        <v>29012</v>
      </c>
      <c r="Z49" s="74">
        <f t="shared" si="14"/>
        <v>16578.285714285714</v>
      </c>
      <c r="AA49" s="52" t="str">
        <f t="shared" si="15"/>
        <v>做多期貨16578</v>
      </c>
    </row>
    <row r="50" spans="1:27" ht="17.5" thickBot="1" x14ac:dyDescent="0.45">
      <c r="B50" s="112"/>
      <c r="C50" s="80" t="s">
        <v>188</v>
      </c>
      <c r="D50" s="53">
        <f>對照日期貨三大法人!B39</f>
        <v>0</v>
      </c>
      <c r="E50" s="75">
        <v>50</v>
      </c>
      <c r="F50" s="75" t="str">
        <f t="shared" si="8"/>
        <v/>
      </c>
      <c r="G50" s="75">
        <f>對照日期貨三大法人!C39</f>
        <v>0</v>
      </c>
      <c r="H50" s="53">
        <f>對照日期貨三大法人!D39</f>
        <v>0</v>
      </c>
      <c r="I50" s="75">
        <v>50</v>
      </c>
      <c r="J50" s="75" t="str">
        <f t="shared" si="9"/>
        <v/>
      </c>
      <c r="K50" s="75">
        <f>對照日期貨三大法人!E39</f>
        <v>0</v>
      </c>
      <c r="L50" s="53">
        <f>對照日期貨三大法人!F39</f>
        <v>0</v>
      </c>
      <c r="M50" s="57">
        <f>對照日期貨三大法人!G39</f>
        <v>0</v>
      </c>
      <c r="N50" s="53" t="str">
        <f t="shared" si="10"/>
        <v/>
      </c>
      <c r="O50" s="57" t="str">
        <f t="shared" si="11"/>
        <v/>
      </c>
      <c r="P50" s="76">
        <f>對照日期貨三大法人!H39</f>
        <v>2</v>
      </c>
      <c r="Q50" s="76">
        <v>50</v>
      </c>
      <c r="R50" s="76">
        <f t="shared" si="12"/>
        <v>16580</v>
      </c>
      <c r="S50" s="61">
        <f>對照日期貨三大法人!I39</f>
        <v>1658</v>
      </c>
      <c r="T50" s="76">
        <f>對照日期貨三大法人!J39</f>
        <v>0</v>
      </c>
      <c r="U50" s="76">
        <v>50</v>
      </c>
      <c r="V50" s="76" t="str">
        <f t="shared" si="13"/>
        <v/>
      </c>
      <c r="W50" s="61">
        <f>對照日期貨三大法人!K39</f>
        <v>0</v>
      </c>
      <c r="X50" s="77">
        <f>對照日期貨三大法人!L39</f>
        <v>2</v>
      </c>
      <c r="Y50" s="61">
        <f>對照日期貨三大法人!M39</f>
        <v>1658</v>
      </c>
      <c r="Z50" s="77">
        <f t="shared" si="14"/>
        <v>16580</v>
      </c>
      <c r="AA50" s="61" t="str">
        <f t="shared" si="15"/>
        <v>做多期貨16580</v>
      </c>
    </row>
    <row r="51" spans="1:27" ht="16.5" customHeight="1" x14ac:dyDescent="0.4">
      <c r="B51" s="110" t="s">
        <v>204</v>
      </c>
      <c r="C51" s="79" t="s">
        <v>186</v>
      </c>
      <c r="D51" s="36">
        <f>對照日期貨三大法人!D40</f>
        <v>1</v>
      </c>
      <c r="E51" s="69">
        <v>200</v>
      </c>
      <c r="F51" s="69">
        <f t="shared" si="8"/>
        <v>995</v>
      </c>
      <c r="G51" s="69">
        <f>對照日期貨三大法人!E40</f>
        <v>199</v>
      </c>
      <c r="H51" s="36">
        <f>對照日期貨三大法人!F40</f>
        <v>5</v>
      </c>
      <c r="I51" s="69">
        <v>200</v>
      </c>
      <c r="J51" s="69">
        <f t="shared" si="9"/>
        <v>1001</v>
      </c>
      <c r="K51" s="69">
        <f>對照日期貨三大法人!G40</f>
        <v>1001</v>
      </c>
      <c r="L51" s="36">
        <f>對照日期貨三大法人!H40</f>
        <v>-4</v>
      </c>
      <c r="M51" s="40">
        <f>對照日期貨三大法人!I40</f>
        <v>-803</v>
      </c>
      <c r="N51" s="36">
        <f t="shared" si="10"/>
        <v>1001</v>
      </c>
      <c r="O51" s="40" t="str">
        <f t="shared" si="11"/>
        <v>做空期貨1001</v>
      </c>
      <c r="P51" s="70">
        <f>對照日期貨三大法人!J40</f>
        <v>0</v>
      </c>
      <c r="Q51" s="70">
        <v>200</v>
      </c>
      <c r="R51" s="70" t="str">
        <f t="shared" si="12"/>
        <v/>
      </c>
      <c r="S51" s="44">
        <f>對照日期貨三大法人!K40</f>
        <v>0</v>
      </c>
      <c r="T51" s="70">
        <f>對照日期貨三大法人!L40</f>
        <v>26</v>
      </c>
      <c r="U51" s="70">
        <v>200</v>
      </c>
      <c r="V51" s="70">
        <f t="shared" si="13"/>
        <v>997.69230769230762</v>
      </c>
      <c r="W51" s="44">
        <f>對照日期貨三大法人!M40</f>
        <v>5188</v>
      </c>
      <c r="X51" s="71">
        <f>對照日期貨三大法人!N40</f>
        <v>-26</v>
      </c>
      <c r="Y51" s="44">
        <f>對照日期貨三大法人!O40</f>
        <v>-5188</v>
      </c>
      <c r="Z51" s="71">
        <f t="shared" si="14"/>
        <v>997.69230769230762</v>
      </c>
      <c r="AA51" s="44" t="str">
        <f t="shared" si="15"/>
        <v>做空期貨998</v>
      </c>
    </row>
    <row r="52" spans="1:27" x14ac:dyDescent="0.4">
      <c r="B52" s="111"/>
      <c r="C52" s="63" t="s">
        <v>187</v>
      </c>
      <c r="D52" s="45">
        <f>對照日期貨三大法人!B41</f>
        <v>0</v>
      </c>
      <c r="E52" s="72">
        <v>200</v>
      </c>
      <c r="F52" s="72" t="str">
        <f t="shared" si="8"/>
        <v/>
      </c>
      <c r="G52" s="72">
        <f>對照日期貨三大法人!C41</f>
        <v>0</v>
      </c>
      <c r="H52" s="45">
        <f>對照日期貨三大法人!D41</f>
        <v>0</v>
      </c>
      <c r="I52" s="72">
        <v>200</v>
      </c>
      <c r="J52" s="72" t="str">
        <f t="shared" si="9"/>
        <v/>
      </c>
      <c r="K52" s="72">
        <f>對照日期貨三大法人!E41</f>
        <v>0</v>
      </c>
      <c r="L52" s="45">
        <f>對照日期貨三大法人!F41</f>
        <v>0</v>
      </c>
      <c r="M52" s="49">
        <f>對照日期貨三大法人!G41</f>
        <v>0</v>
      </c>
      <c r="N52" s="45" t="str">
        <f t="shared" si="10"/>
        <v/>
      </c>
      <c r="O52" s="49" t="str">
        <f t="shared" si="11"/>
        <v/>
      </c>
      <c r="P52" s="73">
        <f>對照日期貨三大法人!H41</f>
        <v>0</v>
      </c>
      <c r="Q52" s="73">
        <v>200</v>
      </c>
      <c r="R52" s="73" t="str">
        <f t="shared" si="12"/>
        <v/>
      </c>
      <c r="S52" s="52">
        <f>對照日期貨三大法人!I41</f>
        <v>0</v>
      </c>
      <c r="T52" s="73">
        <f>對照日期貨三大法人!J41</f>
        <v>0</v>
      </c>
      <c r="U52" s="73">
        <v>200</v>
      </c>
      <c r="V52" s="73" t="str">
        <f t="shared" si="13"/>
        <v/>
      </c>
      <c r="W52" s="52">
        <f>對照日期貨三大法人!K41</f>
        <v>0</v>
      </c>
      <c r="X52" s="74">
        <f>對照日期貨三大法人!L41</f>
        <v>0</v>
      </c>
      <c r="Y52" s="52">
        <f>對照日期貨三大法人!M41</f>
        <v>0</v>
      </c>
      <c r="Z52" s="74" t="str">
        <f t="shared" si="14"/>
        <v/>
      </c>
      <c r="AA52" s="52" t="str">
        <f t="shared" si="15"/>
        <v/>
      </c>
    </row>
    <row r="53" spans="1:27" ht="17.5" thickBot="1" x14ac:dyDescent="0.45">
      <c r="B53" s="112"/>
      <c r="C53" s="80" t="s">
        <v>188</v>
      </c>
      <c r="D53" s="53">
        <f>對照日期貨三大法人!B42</f>
        <v>0</v>
      </c>
      <c r="E53" s="75">
        <v>200</v>
      </c>
      <c r="F53" s="75" t="str">
        <f t="shared" si="8"/>
        <v/>
      </c>
      <c r="G53" s="75">
        <f>對照日期貨三大法人!C42</f>
        <v>0</v>
      </c>
      <c r="H53" s="53">
        <f>對照日期貨三大法人!D42</f>
        <v>1</v>
      </c>
      <c r="I53" s="75">
        <v>200</v>
      </c>
      <c r="J53" s="75">
        <f t="shared" si="9"/>
        <v>1000</v>
      </c>
      <c r="K53" s="75">
        <f>對照日期貨三大法人!E42</f>
        <v>200</v>
      </c>
      <c r="L53" s="53">
        <f>對照日期貨三大法人!F42</f>
        <v>-1</v>
      </c>
      <c r="M53" s="57">
        <f>對照日期貨三大法人!G42</f>
        <v>-200</v>
      </c>
      <c r="N53" s="53">
        <f t="shared" si="10"/>
        <v>1000</v>
      </c>
      <c r="O53" s="57" t="str">
        <f t="shared" si="11"/>
        <v>做空期貨1000</v>
      </c>
      <c r="P53" s="76">
        <f>對照日期貨三大法人!H42</f>
        <v>0</v>
      </c>
      <c r="Q53" s="76">
        <v>200</v>
      </c>
      <c r="R53" s="76" t="str">
        <f t="shared" si="12"/>
        <v/>
      </c>
      <c r="S53" s="61">
        <f>對照日期貨三大法人!I42</f>
        <v>0</v>
      </c>
      <c r="T53" s="76">
        <f>對照日期貨三大法人!J42</f>
        <v>4</v>
      </c>
      <c r="U53" s="76">
        <v>200</v>
      </c>
      <c r="V53" s="76">
        <f t="shared" si="13"/>
        <v>997.5</v>
      </c>
      <c r="W53" s="61">
        <f>對照日期貨三大法人!K42</f>
        <v>798</v>
      </c>
      <c r="X53" s="77">
        <f>對照日期貨三大法人!L42</f>
        <v>-4</v>
      </c>
      <c r="Y53" s="61">
        <f>對照日期貨三大法人!M42</f>
        <v>-798</v>
      </c>
      <c r="Z53" s="77">
        <f t="shared" si="14"/>
        <v>997.5</v>
      </c>
      <c r="AA53" s="61" t="str">
        <f t="shared" si="15"/>
        <v>做空期貨998</v>
      </c>
    </row>
    <row r="54" spans="1:27" ht="16.5" customHeight="1" x14ac:dyDescent="0.4">
      <c r="B54" s="110" t="s">
        <v>205</v>
      </c>
      <c r="C54" s="79" t="s">
        <v>186</v>
      </c>
      <c r="D54" s="36">
        <f>對照日期貨三大法人!D43</f>
        <v>49</v>
      </c>
      <c r="E54" s="69">
        <v>50</v>
      </c>
      <c r="F54" s="69">
        <f t="shared" si="8"/>
        <v>7912.2448979591836</v>
      </c>
      <c r="G54" s="69">
        <f>對照日期貨三大法人!E43</f>
        <v>19385</v>
      </c>
      <c r="H54" s="36">
        <f>對照日期貨三大法人!F43</f>
        <v>75</v>
      </c>
      <c r="I54" s="69">
        <v>50</v>
      </c>
      <c r="J54" s="69">
        <f t="shared" si="9"/>
        <v>7906.9333333333334</v>
      </c>
      <c r="K54" s="69">
        <f>對照日期貨三大法人!G43</f>
        <v>29651</v>
      </c>
      <c r="L54" s="36">
        <f>對照日期貨三大法人!H43</f>
        <v>-26</v>
      </c>
      <c r="M54" s="40">
        <f>對照日期貨三大法人!I43</f>
        <v>-10267</v>
      </c>
      <c r="N54" s="36">
        <f t="shared" si="10"/>
        <v>7906.9333333333334</v>
      </c>
      <c r="O54" s="40" t="str">
        <f t="shared" si="11"/>
        <v>做空期貨7907</v>
      </c>
      <c r="P54" s="70">
        <f>對照日期貨三大法人!J43</f>
        <v>0</v>
      </c>
      <c r="Q54" s="70">
        <v>50</v>
      </c>
      <c r="R54" s="70" t="str">
        <f t="shared" si="12"/>
        <v/>
      </c>
      <c r="S54" s="44">
        <f>對照日期貨三大法人!K43</f>
        <v>0</v>
      </c>
      <c r="T54" s="70">
        <f>對照日期貨三大法人!L43</f>
        <v>244</v>
      </c>
      <c r="U54" s="70">
        <v>50</v>
      </c>
      <c r="V54" s="70">
        <f t="shared" si="13"/>
        <v>7905</v>
      </c>
      <c r="W54" s="44">
        <f>對照日期貨三大法人!M43</f>
        <v>96441</v>
      </c>
      <c r="X54" s="71">
        <f>對照日期貨三大法人!N43</f>
        <v>-244</v>
      </c>
      <c r="Y54" s="44">
        <f>對照日期貨三大法人!O43</f>
        <v>-96441</v>
      </c>
      <c r="Z54" s="71">
        <f t="shared" si="14"/>
        <v>7905</v>
      </c>
      <c r="AA54" s="44" t="str">
        <f t="shared" si="15"/>
        <v>做空期貨7905</v>
      </c>
    </row>
    <row r="55" spans="1:27" x14ac:dyDescent="0.4">
      <c r="B55" s="111"/>
      <c r="C55" s="63" t="s">
        <v>187</v>
      </c>
      <c r="D55" s="45">
        <f>對照日期貨三大法人!B44</f>
        <v>0</v>
      </c>
      <c r="E55" s="72">
        <v>50</v>
      </c>
      <c r="F55" s="72" t="str">
        <f t="shared" si="8"/>
        <v/>
      </c>
      <c r="G55" s="72">
        <f>對照日期貨三大法人!C44</f>
        <v>0</v>
      </c>
      <c r="H55" s="45">
        <f>對照日期貨三大法人!D44</f>
        <v>0</v>
      </c>
      <c r="I55" s="72">
        <v>50</v>
      </c>
      <c r="J55" s="72" t="str">
        <f t="shared" si="9"/>
        <v/>
      </c>
      <c r="K55" s="72">
        <f>對照日期貨三大法人!E44</f>
        <v>0</v>
      </c>
      <c r="L55" s="45">
        <f>對照日期貨三大法人!F44</f>
        <v>0</v>
      </c>
      <c r="M55" s="49">
        <f>對照日期貨三大法人!G44</f>
        <v>0</v>
      </c>
      <c r="N55" s="45" t="str">
        <f t="shared" si="10"/>
        <v/>
      </c>
      <c r="O55" s="49" t="str">
        <f t="shared" si="11"/>
        <v/>
      </c>
      <c r="P55" s="73">
        <f>對照日期貨三大法人!H44</f>
        <v>0</v>
      </c>
      <c r="Q55" s="73">
        <v>50</v>
      </c>
      <c r="R55" s="73" t="str">
        <f t="shared" si="12"/>
        <v/>
      </c>
      <c r="S55" s="52">
        <f>對照日期貨三大法人!I44</f>
        <v>0</v>
      </c>
      <c r="T55" s="73">
        <f>對照日期貨三大法人!J44</f>
        <v>0</v>
      </c>
      <c r="U55" s="73">
        <v>50</v>
      </c>
      <c r="V55" s="73" t="str">
        <f t="shared" si="13"/>
        <v/>
      </c>
      <c r="W55" s="52">
        <f>對照日期貨三大法人!K44</f>
        <v>0</v>
      </c>
      <c r="X55" s="74">
        <f>對照日期貨三大法人!L44</f>
        <v>0</v>
      </c>
      <c r="Y55" s="52">
        <f>對照日期貨三大法人!M44</f>
        <v>0</v>
      </c>
      <c r="Z55" s="74" t="str">
        <f t="shared" si="14"/>
        <v/>
      </c>
      <c r="AA55" s="52" t="str">
        <f t="shared" si="15"/>
        <v/>
      </c>
    </row>
    <row r="56" spans="1:27" ht="17.5" thickBot="1" x14ac:dyDescent="0.45">
      <c r="B56" s="112"/>
      <c r="C56" s="80" t="s">
        <v>188</v>
      </c>
      <c r="D56" s="53">
        <f>對照日期貨三大法人!B45</f>
        <v>30</v>
      </c>
      <c r="E56" s="75">
        <v>50</v>
      </c>
      <c r="F56" s="75">
        <f t="shared" si="8"/>
        <v>7898.6666666666661</v>
      </c>
      <c r="G56" s="75">
        <f>對照日期貨三大法人!C45</f>
        <v>11848</v>
      </c>
      <c r="H56" s="53">
        <f>對照日期貨三大法人!D45</f>
        <v>15</v>
      </c>
      <c r="I56" s="75">
        <v>50</v>
      </c>
      <c r="J56" s="75">
        <f t="shared" si="9"/>
        <v>7898.6666666666661</v>
      </c>
      <c r="K56" s="75">
        <f>對照日期貨三大法人!E45</f>
        <v>5924</v>
      </c>
      <c r="L56" s="53">
        <f>對照日期貨三大法人!F45</f>
        <v>15</v>
      </c>
      <c r="M56" s="57">
        <f>對照日期貨三大法人!G45</f>
        <v>5924</v>
      </c>
      <c r="N56" s="53">
        <f t="shared" si="10"/>
        <v>7898.6666666666661</v>
      </c>
      <c r="O56" s="57" t="str">
        <f t="shared" si="11"/>
        <v>做多期貨7899</v>
      </c>
      <c r="P56" s="76">
        <f>對照日期貨三大法人!H45</f>
        <v>124</v>
      </c>
      <c r="Q56" s="76">
        <v>50</v>
      </c>
      <c r="R56" s="76">
        <f t="shared" si="12"/>
        <v>7905.322580645161</v>
      </c>
      <c r="S56" s="61">
        <f>對照日期貨三大法人!I45</f>
        <v>49013</v>
      </c>
      <c r="T56" s="76">
        <f>對照日期貨三大法人!J45</f>
        <v>9</v>
      </c>
      <c r="U56" s="76">
        <v>50</v>
      </c>
      <c r="V56" s="76">
        <f t="shared" si="13"/>
        <v>7906.6666666666661</v>
      </c>
      <c r="W56" s="61">
        <f>對照日期貨三大法人!K45</f>
        <v>3558</v>
      </c>
      <c r="X56" s="77">
        <f>對照日期貨三大法人!L45</f>
        <v>115</v>
      </c>
      <c r="Y56" s="61">
        <f>對照日期貨三大法人!M45</f>
        <v>45455</v>
      </c>
      <c r="Z56" s="77">
        <f t="shared" si="14"/>
        <v>7905.322580645161</v>
      </c>
      <c r="AA56" s="61" t="str">
        <f t="shared" si="15"/>
        <v>做多期貨7905</v>
      </c>
    </row>
    <row r="57" spans="1:27" ht="16.5" customHeight="1" x14ac:dyDescent="0.4">
      <c r="B57" s="110" t="s">
        <v>206</v>
      </c>
      <c r="C57" s="79" t="s">
        <v>186</v>
      </c>
      <c r="D57" s="36">
        <f>對照日期貨三大法人!D46</f>
        <v>7</v>
      </c>
      <c r="E57" s="69">
        <v>20</v>
      </c>
      <c r="F57" s="69">
        <f t="shared" si="8"/>
        <v>43435.714285714283</v>
      </c>
      <c r="G57" s="69">
        <f>對照日期貨三大法人!E46</f>
        <v>6081</v>
      </c>
      <c r="H57" s="36">
        <f>對照日期貨三大法人!F46</f>
        <v>12</v>
      </c>
      <c r="I57" s="69">
        <v>20</v>
      </c>
      <c r="J57" s="69">
        <f t="shared" si="9"/>
        <v>43383.333333333328</v>
      </c>
      <c r="K57" s="69">
        <f>對照日期貨三大法人!G46</f>
        <v>10412</v>
      </c>
      <c r="L57" s="36">
        <f>對照日期貨三大法人!H46</f>
        <v>-5</v>
      </c>
      <c r="M57" s="40">
        <f>對照日期貨三大法人!I46</f>
        <v>-4330</v>
      </c>
      <c r="N57" s="36">
        <f t="shared" si="10"/>
        <v>43383.333333333328</v>
      </c>
      <c r="O57" s="40" t="str">
        <f t="shared" si="11"/>
        <v>做空期貨43383</v>
      </c>
      <c r="P57" s="70">
        <f>對照日期貨三大法人!J46</f>
        <v>26</v>
      </c>
      <c r="Q57" s="70">
        <v>20</v>
      </c>
      <c r="R57" s="70">
        <f t="shared" si="12"/>
        <v>43240.38461538461</v>
      </c>
      <c r="S57" s="44">
        <f>對照日期貨三大法人!K46</f>
        <v>22485</v>
      </c>
      <c r="T57" s="70">
        <f>對照日期貨三大法人!L46</f>
        <v>246</v>
      </c>
      <c r="U57" s="70">
        <v>20</v>
      </c>
      <c r="V57" s="70">
        <f t="shared" si="13"/>
        <v>43359.959349593497</v>
      </c>
      <c r="W57" s="44">
        <f>對照日期貨三大法人!M46</f>
        <v>213331</v>
      </c>
      <c r="X57" s="71">
        <f>對照日期貨三大法人!N46</f>
        <v>-220</v>
      </c>
      <c r="Y57" s="44">
        <f>對照日期貨三大法人!O46</f>
        <v>-190846</v>
      </c>
      <c r="Z57" s="71">
        <f t="shared" si="14"/>
        <v>43359.959349593497</v>
      </c>
      <c r="AA57" s="44" t="str">
        <f t="shared" si="15"/>
        <v>做空期貨43360</v>
      </c>
    </row>
    <row r="58" spans="1:27" x14ac:dyDescent="0.4">
      <c r="B58" s="111"/>
      <c r="C58" s="63" t="s">
        <v>187</v>
      </c>
      <c r="D58" s="45">
        <f>對照日期貨三大法人!B47</f>
        <v>0</v>
      </c>
      <c r="E58" s="72">
        <v>20</v>
      </c>
      <c r="F58" s="72" t="str">
        <f t="shared" si="8"/>
        <v/>
      </c>
      <c r="G58" s="72">
        <f>對照日期貨三大法人!C47</f>
        <v>0</v>
      </c>
      <c r="H58" s="45">
        <f>對照日期貨三大法人!D47</f>
        <v>0</v>
      </c>
      <c r="I58" s="72">
        <v>20</v>
      </c>
      <c r="J58" s="72" t="str">
        <f t="shared" si="9"/>
        <v/>
      </c>
      <c r="K58" s="72">
        <f>對照日期貨三大法人!E47</f>
        <v>0</v>
      </c>
      <c r="L58" s="45">
        <f>對照日期貨三大法人!F47</f>
        <v>0</v>
      </c>
      <c r="M58" s="49">
        <f>對照日期貨三大法人!G47</f>
        <v>0</v>
      </c>
      <c r="N58" s="45" t="str">
        <f t="shared" si="10"/>
        <v/>
      </c>
      <c r="O58" s="49" t="str">
        <f t="shared" si="11"/>
        <v/>
      </c>
      <c r="P58" s="73">
        <f>對照日期貨三大法人!H47</f>
        <v>0</v>
      </c>
      <c r="Q58" s="73">
        <v>20</v>
      </c>
      <c r="R58" s="73" t="str">
        <f t="shared" si="12"/>
        <v/>
      </c>
      <c r="S58" s="52">
        <f>對照日期貨三大法人!I47</f>
        <v>0</v>
      </c>
      <c r="T58" s="73">
        <f>對照日期貨三大法人!J47</f>
        <v>0</v>
      </c>
      <c r="U58" s="73">
        <v>20</v>
      </c>
      <c r="V58" s="73" t="str">
        <f t="shared" si="13"/>
        <v/>
      </c>
      <c r="W58" s="52">
        <f>對照日期貨三大法人!K47</f>
        <v>0</v>
      </c>
      <c r="X58" s="74">
        <f>對照日期貨三大法人!L47</f>
        <v>0</v>
      </c>
      <c r="Y58" s="52">
        <f>對照日期貨三大法人!M47</f>
        <v>0</v>
      </c>
      <c r="Z58" s="74" t="str">
        <f t="shared" si="14"/>
        <v/>
      </c>
      <c r="AA58" s="52" t="str">
        <f t="shared" si="15"/>
        <v/>
      </c>
    </row>
    <row r="59" spans="1:27" ht="17.5" thickBot="1" x14ac:dyDescent="0.45">
      <c r="B59" s="112"/>
      <c r="C59" s="80" t="s">
        <v>188</v>
      </c>
      <c r="D59" s="53">
        <f>對照日期貨三大法人!B48</f>
        <v>23</v>
      </c>
      <c r="E59" s="75">
        <v>20</v>
      </c>
      <c r="F59" s="75">
        <f t="shared" si="8"/>
        <v>43467.391304347824</v>
      </c>
      <c r="G59" s="75">
        <f>對照日期貨三大法人!C48</f>
        <v>19995</v>
      </c>
      <c r="H59" s="53">
        <f>對照日期貨三大法人!D48</f>
        <v>24</v>
      </c>
      <c r="I59" s="75">
        <v>20</v>
      </c>
      <c r="J59" s="75">
        <f t="shared" si="9"/>
        <v>43454.166666666672</v>
      </c>
      <c r="K59" s="75">
        <f>對照日期貨三大法人!E48</f>
        <v>20858</v>
      </c>
      <c r="L59" s="53">
        <f>對照日期貨三大法人!F48</f>
        <v>-1</v>
      </c>
      <c r="M59" s="57">
        <f>對照日期貨三大法人!G48</f>
        <v>-863</v>
      </c>
      <c r="N59" s="53">
        <f t="shared" si="10"/>
        <v>43454.166666666672</v>
      </c>
      <c r="O59" s="57" t="str">
        <f t="shared" si="11"/>
        <v>做空期貨43454</v>
      </c>
      <c r="P59" s="76">
        <f>對照日期貨三大法人!H48</f>
        <v>21</v>
      </c>
      <c r="Q59" s="76">
        <v>20</v>
      </c>
      <c r="R59" s="76">
        <f t="shared" si="12"/>
        <v>43359.523809523809</v>
      </c>
      <c r="S59" s="61">
        <f>對照日期貨三大法人!I48</f>
        <v>18211</v>
      </c>
      <c r="T59" s="76">
        <f>對照日期貨三大法人!J48</f>
        <v>174</v>
      </c>
      <c r="U59" s="76">
        <v>20</v>
      </c>
      <c r="V59" s="76">
        <f t="shared" si="13"/>
        <v>43333.333333333328</v>
      </c>
      <c r="W59" s="61">
        <f>對照日期貨三大法人!K48</f>
        <v>150800</v>
      </c>
      <c r="X59" s="77">
        <f>對照日期貨三大法人!L48</f>
        <v>-153</v>
      </c>
      <c r="Y59" s="61">
        <f>對照日期貨三大法人!M48</f>
        <v>-132589</v>
      </c>
      <c r="Z59" s="77">
        <f t="shared" si="14"/>
        <v>43333.333333333328</v>
      </c>
      <c r="AA59" s="61" t="str">
        <f t="shared" si="15"/>
        <v>做空期貨43333</v>
      </c>
    </row>
    <row r="60" spans="1:27" ht="16.5" customHeight="1" x14ac:dyDescent="0.4">
      <c r="B60" s="110" t="s">
        <v>207</v>
      </c>
      <c r="C60" s="79" t="s">
        <v>186</v>
      </c>
      <c r="D60" s="36">
        <f>對照日期貨三大法人!D49</f>
        <v>180</v>
      </c>
      <c r="E60" s="69">
        <v>50</v>
      </c>
      <c r="F60" s="69">
        <f t="shared" si="8"/>
        <v>14653.666666666668</v>
      </c>
      <c r="G60" s="69">
        <f>對照日期貨三大法人!E49</f>
        <v>131883</v>
      </c>
      <c r="H60" s="36">
        <f>對照日期貨三大法人!F49</f>
        <v>141</v>
      </c>
      <c r="I60" s="69">
        <v>50</v>
      </c>
      <c r="J60" s="69">
        <f t="shared" si="9"/>
        <v>14664.255319148935</v>
      </c>
      <c r="K60" s="69">
        <f>對照日期貨三大法人!G49</f>
        <v>103383</v>
      </c>
      <c r="L60" s="45">
        <f>對照日期貨三大法人!H49</f>
        <v>39</v>
      </c>
      <c r="M60" s="49">
        <f>對照日期貨三大法人!I49</f>
        <v>28500</v>
      </c>
      <c r="N60" s="45">
        <f t="shared" si="10"/>
        <v>14653.666666666668</v>
      </c>
      <c r="O60" s="49" t="str">
        <f t="shared" si="11"/>
        <v>做多期貨14654</v>
      </c>
      <c r="P60" s="70">
        <f>對照日期貨三大法人!J49</f>
        <v>30</v>
      </c>
      <c r="Q60" s="70">
        <v>50</v>
      </c>
      <c r="R60" s="70">
        <f t="shared" si="12"/>
        <v>14617.333333333332</v>
      </c>
      <c r="S60" s="44">
        <f>對照日期貨三大法人!K49</f>
        <v>21926</v>
      </c>
      <c r="T60" s="70">
        <f>對照日期貨三大法人!L49</f>
        <v>501</v>
      </c>
      <c r="U60" s="70">
        <v>50</v>
      </c>
      <c r="V60" s="70">
        <f t="shared" si="13"/>
        <v>14618.443113772455</v>
      </c>
      <c r="W60" s="44">
        <f>對照日期貨三大法人!M49</f>
        <v>366192</v>
      </c>
      <c r="X60" s="71">
        <f>對照日期貨三大法人!N49</f>
        <v>-471</v>
      </c>
      <c r="Y60" s="44">
        <f>對照日期貨三大法人!O49</f>
        <v>-344266</v>
      </c>
      <c r="Z60" s="71">
        <f t="shared" si="14"/>
        <v>14618.443113772455</v>
      </c>
      <c r="AA60" s="52" t="str">
        <f t="shared" si="15"/>
        <v>做空期貨14618</v>
      </c>
    </row>
    <row r="61" spans="1:27" x14ac:dyDescent="0.4">
      <c r="B61" s="111"/>
      <c r="C61" s="63" t="s">
        <v>187</v>
      </c>
      <c r="D61" s="45">
        <f>對照日期貨三大法人!B50</f>
        <v>0</v>
      </c>
      <c r="E61" s="72">
        <v>50</v>
      </c>
      <c r="F61" s="72" t="str">
        <f t="shared" si="8"/>
        <v/>
      </c>
      <c r="G61" s="72">
        <f>對照日期貨三大法人!C50</f>
        <v>0</v>
      </c>
      <c r="H61" s="45">
        <f>對照日期貨三大法人!D50</f>
        <v>0</v>
      </c>
      <c r="I61" s="72">
        <v>50</v>
      </c>
      <c r="J61" s="72" t="str">
        <f t="shared" si="9"/>
        <v/>
      </c>
      <c r="K61" s="72">
        <f>對照日期貨三大法人!E50</f>
        <v>0</v>
      </c>
      <c r="L61" s="45">
        <f>對照日期貨三大法人!F50</f>
        <v>0</v>
      </c>
      <c r="M61" s="49">
        <f>對照日期貨三大法人!G50</f>
        <v>0</v>
      </c>
      <c r="N61" s="45" t="str">
        <f t="shared" si="10"/>
        <v/>
      </c>
      <c r="O61" s="49" t="str">
        <f t="shared" si="11"/>
        <v/>
      </c>
      <c r="P61" s="73">
        <f>對照日期貨三大法人!H50</f>
        <v>0</v>
      </c>
      <c r="Q61" s="73">
        <v>50</v>
      </c>
      <c r="R61" s="73" t="str">
        <f t="shared" si="12"/>
        <v/>
      </c>
      <c r="S61" s="52">
        <f>對照日期貨三大法人!I50</f>
        <v>0</v>
      </c>
      <c r="T61" s="73">
        <f>對照日期貨三大法人!J50</f>
        <v>0</v>
      </c>
      <c r="U61" s="73">
        <v>50</v>
      </c>
      <c r="V61" s="73" t="str">
        <f t="shared" si="13"/>
        <v/>
      </c>
      <c r="W61" s="52">
        <f>對照日期貨三大法人!K50</f>
        <v>0</v>
      </c>
      <c r="X61" s="74">
        <f>對照日期貨三大法人!L50</f>
        <v>0</v>
      </c>
      <c r="Y61" s="52">
        <f>對照日期貨三大法人!M50</f>
        <v>0</v>
      </c>
      <c r="Z61" s="74" t="str">
        <f t="shared" si="14"/>
        <v/>
      </c>
      <c r="AA61" s="52" t="str">
        <f t="shared" si="15"/>
        <v/>
      </c>
    </row>
    <row r="62" spans="1:27" ht="17.5" thickBot="1" x14ac:dyDescent="0.45">
      <c r="B62" s="112"/>
      <c r="C62" s="80" t="s">
        <v>188</v>
      </c>
      <c r="D62" s="53">
        <f>對照日期貨三大法人!B51</f>
        <v>977</v>
      </c>
      <c r="E62" s="75">
        <v>50</v>
      </c>
      <c r="F62" s="75">
        <f t="shared" si="8"/>
        <v>14684.298874104401</v>
      </c>
      <c r="G62" s="75">
        <f>對照日期貨三大法人!C51</f>
        <v>717328</v>
      </c>
      <c r="H62" s="53">
        <f>對照日期貨三大法人!D51</f>
        <v>979</v>
      </c>
      <c r="I62" s="75">
        <v>50</v>
      </c>
      <c r="J62" s="75">
        <f t="shared" si="9"/>
        <v>14681.389172625128</v>
      </c>
      <c r="K62" s="75">
        <f>對照日期貨三大法人!E51</f>
        <v>718654</v>
      </c>
      <c r="L62" s="53">
        <f>對照日期貨三大法人!F51</f>
        <v>-2</v>
      </c>
      <c r="M62" s="57">
        <f>對照日期貨三大法人!G51</f>
        <v>-1326</v>
      </c>
      <c r="N62" s="53">
        <f t="shared" si="10"/>
        <v>14681.389172625128</v>
      </c>
      <c r="O62" s="57" t="str">
        <f t="shared" si="11"/>
        <v>做空期貨14681</v>
      </c>
      <c r="P62" s="76">
        <f>對照日期貨三大法人!H51</f>
        <v>12</v>
      </c>
      <c r="Q62" s="76">
        <v>50</v>
      </c>
      <c r="R62" s="76">
        <f t="shared" si="12"/>
        <v>14635</v>
      </c>
      <c r="S62" s="61">
        <f>對照日期貨三大法人!I51</f>
        <v>8781</v>
      </c>
      <c r="T62" s="76">
        <f>對照日期貨三大法人!J51</f>
        <v>197</v>
      </c>
      <c r="U62" s="76">
        <v>50</v>
      </c>
      <c r="V62" s="76">
        <f t="shared" si="13"/>
        <v>14616.954314720811</v>
      </c>
      <c r="W62" s="61">
        <f>對照日期貨三大法人!K51</f>
        <v>143977</v>
      </c>
      <c r="X62" s="77">
        <f>對照日期貨三大法人!L51</f>
        <v>-185</v>
      </c>
      <c r="Y62" s="61">
        <f>對照日期貨三大法人!M51</f>
        <v>-135196</v>
      </c>
      <c r="Z62" s="77">
        <f t="shared" si="14"/>
        <v>14616.954314720811</v>
      </c>
      <c r="AA62" s="61" t="str">
        <f t="shared" si="15"/>
        <v>做空期貨14617</v>
      </c>
    </row>
    <row r="63" spans="1:27" x14ac:dyDescent="0.4">
      <c r="A63" s="120">
        <f>圖形!C2</f>
        <v>44482</v>
      </c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</row>
  </sheetData>
  <mergeCells count="38">
    <mergeCell ref="B60:B62"/>
    <mergeCell ref="B27:B29"/>
    <mergeCell ref="B30:B32"/>
    <mergeCell ref="B33:B35"/>
    <mergeCell ref="B36:B38"/>
    <mergeCell ref="B39:B41"/>
    <mergeCell ref="B42:B44"/>
    <mergeCell ref="B45:B47"/>
    <mergeCell ref="B48:B50"/>
    <mergeCell ref="B51:B53"/>
    <mergeCell ref="B54:B56"/>
    <mergeCell ref="B57:B59"/>
    <mergeCell ref="B24:B26"/>
    <mergeCell ref="B5:B7"/>
    <mergeCell ref="B8:B10"/>
    <mergeCell ref="B12:C14"/>
    <mergeCell ref="D12:O12"/>
    <mergeCell ref="B15:B17"/>
    <mergeCell ref="B18:B20"/>
    <mergeCell ref="B21:B23"/>
    <mergeCell ref="P12:AA12"/>
    <mergeCell ref="D13:G13"/>
    <mergeCell ref="H13:K13"/>
    <mergeCell ref="L13:M13"/>
    <mergeCell ref="P13:S13"/>
    <mergeCell ref="T13:W13"/>
    <mergeCell ref="X13:Y13"/>
    <mergeCell ref="Z13:AA13"/>
    <mergeCell ref="B2:C4"/>
    <mergeCell ref="D2:O2"/>
    <mergeCell ref="P2:AA2"/>
    <mergeCell ref="D3:G3"/>
    <mergeCell ref="H3:K3"/>
    <mergeCell ref="L3:M3"/>
    <mergeCell ref="P3:S3"/>
    <mergeCell ref="T3:W3"/>
    <mergeCell ref="X3:Y3"/>
    <mergeCell ref="Z3:AA3"/>
  </mergeCells>
  <phoneticPr fontId="3" type="noConversion"/>
  <conditionalFormatting sqref="O15:O62">
    <cfRule type="containsText" dxfId="15" priority="7" operator="containsText" text="空">
      <formula>NOT(ISERROR(SEARCH("空",O15)))</formula>
    </cfRule>
    <cfRule type="containsText" dxfId="14" priority="8" operator="containsText" text="多">
      <formula>NOT(ISERROR(SEARCH("多",O15)))</formula>
    </cfRule>
  </conditionalFormatting>
  <conditionalFormatting sqref="O5:O10">
    <cfRule type="containsText" dxfId="13" priority="1" operator="containsText" text="空">
      <formula>NOT(ISERROR(SEARCH("空",O5)))</formula>
    </cfRule>
    <cfRule type="containsText" dxfId="12" priority="2" operator="containsText" text="多">
      <formula>NOT(ISERROR(SEARCH("多",O5)))</formula>
    </cfRule>
  </conditionalFormatting>
  <conditionalFormatting sqref="AA15:AA62">
    <cfRule type="containsText" dxfId="11" priority="5" operator="containsText" text="空">
      <formula>NOT(ISERROR(SEARCH("空",AA15)))</formula>
    </cfRule>
    <cfRule type="containsText" dxfId="10" priority="6" operator="containsText" text="多">
      <formula>NOT(ISERROR(SEARCH("多",AA15)))</formula>
    </cfRule>
  </conditionalFormatting>
  <conditionalFormatting sqref="AA5:AA10">
    <cfRule type="containsText" dxfId="9" priority="3" operator="containsText" text="空">
      <formula>NOT(ISERROR(SEARCH("空",AA5)))</formula>
    </cfRule>
    <cfRule type="containsText" dxfId="8" priority="4" operator="containsText" text="多">
      <formula>NOT(ISERROR(SEARCH("多",AA5)))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B758A-2625-414B-9BC3-CE8C15A67163}">
  <sheetPr codeName="工作表11">
    <tabColor rgb="FFFFC000"/>
  </sheetPr>
  <dimension ref="A1:AA63"/>
  <sheetViews>
    <sheetView tabSelected="1" zoomScale="65" zoomScaleNormal="65" workbookViewId="0">
      <selection activeCell="E67" sqref="E67"/>
    </sheetView>
  </sheetViews>
  <sheetFormatPr defaultColWidth="9" defaultRowHeight="17" x14ac:dyDescent="0.4"/>
  <cols>
    <col min="1" max="2" width="9" style="32"/>
    <col min="3" max="3" width="7.90625" style="32" bestFit="1" customWidth="1"/>
    <col min="4" max="4" width="9.36328125" style="32" bestFit="1" customWidth="1"/>
    <col min="5" max="6" width="9" style="32"/>
    <col min="7" max="7" width="12.26953125" style="32" bestFit="1" customWidth="1"/>
    <col min="8" max="8" width="9.36328125" style="32" bestFit="1" customWidth="1"/>
    <col min="9" max="9" width="9" style="32"/>
    <col min="10" max="10" width="10.26953125" style="32" bestFit="1" customWidth="1"/>
    <col min="11" max="11" width="12.26953125" style="32" bestFit="1" customWidth="1"/>
    <col min="12" max="12" width="10" style="32" bestFit="1" customWidth="1"/>
    <col min="13" max="13" width="12.08984375" style="32" bestFit="1" customWidth="1"/>
    <col min="14" max="14" width="9" style="32"/>
    <col min="15" max="15" width="15.36328125" style="32" customWidth="1"/>
    <col min="16" max="16" width="10.26953125" style="32" bestFit="1" customWidth="1"/>
    <col min="17" max="18" width="10" style="32" bestFit="1" customWidth="1"/>
    <col min="19" max="19" width="11.26953125" style="32" bestFit="1" customWidth="1"/>
    <col min="20" max="20" width="9.36328125" style="32" bestFit="1" customWidth="1"/>
    <col min="21" max="22" width="10" style="32" bestFit="1" customWidth="1"/>
    <col min="23" max="23" width="12.26953125" style="32" bestFit="1" customWidth="1"/>
    <col min="24" max="24" width="11" style="32" bestFit="1" customWidth="1"/>
    <col min="25" max="25" width="13.08984375" style="32" bestFit="1" customWidth="1"/>
    <col min="26" max="26" width="9" style="32"/>
    <col min="27" max="27" width="15.453125" style="32" customWidth="1"/>
    <col min="28" max="16384" width="9" style="32"/>
  </cols>
  <sheetData>
    <row r="1" spans="2:27" ht="17.5" thickBot="1" x14ac:dyDescent="0.45">
      <c r="B1" s="30" t="s">
        <v>173</v>
      </c>
      <c r="C1" s="30">
        <f>最新日整理選擇權報價!A2</f>
        <v>202110</v>
      </c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</row>
    <row r="2" spans="2:27" ht="17.5" thickBot="1" x14ac:dyDescent="0.45">
      <c r="B2" s="95" t="s">
        <v>174</v>
      </c>
      <c r="C2" s="96"/>
      <c r="D2" s="101" t="s">
        <v>175</v>
      </c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P2" s="104" t="s">
        <v>176</v>
      </c>
      <c r="Q2" s="105"/>
      <c r="R2" s="105"/>
      <c r="S2" s="105"/>
      <c r="T2" s="105"/>
      <c r="U2" s="105"/>
      <c r="V2" s="105"/>
      <c r="W2" s="105"/>
      <c r="X2" s="105"/>
      <c r="Y2" s="105"/>
      <c r="Z2" s="106"/>
      <c r="AA2" s="107"/>
    </row>
    <row r="3" spans="2:27" ht="17.5" thickBot="1" x14ac:dyDescent="0.45">
      <c r="B3" s="97"/>
      <c r="C3" s="98"/>
      <c r="D3" s="101" t="s">
        <v>177</v>
      </c>
      <c r="E3" s="102"/>
      <c r="F3" s="102"/>
      <c r="G3" s="103"/>
      <c r="H3" s="101" t="s">
        <v>178</v>
      </c>
      <c r="I3" s="102"/>
      <c r="J3" s="102"/>
      <c r="K3" s="103"/>
      <c r="L3" s="101" t="s">
        <v>179</v>
      </c>
      <c r="M3" s="108"/>
      <c r="N3" s="33"/>
      <c r="O3" s="34"/>
      <c r="P3" s="104" t="s">
        <v>177</v>
      </c>
      <c r="Q3" s="105"/>
      <c r="R3" s="105"/>
      <c r="S3" s="109"/>
      <c r="T3" s="104" t="s">
        <v>178</v>
      </c>
      <c r="U3" s="105"/>
      <c r="V3" s="105"/>
      <c r="W3" s="109"/>
      <c r="X3" s="104" t="s">
        <v>179</v>
      </c>
      <c r="Y3" s="109"/>
      <c r="Z3" s="104"/>
      <c r="AA3" s="109"/>
    </row>
    <row r="4" spans="2:27" ht="17.5" thickBot="1" x14ac:dyDescent="0.45">
      <c r="B4" s="99"/>
      <c r="C4" s="100"/>
      <c r="D4" s="80" t="s">
        <v>36</v>
      </c>
      <c r="E4" s="81" t="s">
        <v>180</v>
      </c>
      <c r="F4" s="116" t="s">
        <v>181</v>
      </c>
      <c r="G4" s="82" t="s">
        <v>182</v>
      </c>
      <c r="H4" s="80" t="s">
        <v>36</v>
      </c>
      <c r="I4" s="81" t="s">
        <v>180</v>
      </c>
      <c r="J4" s="116" t="s">
        <v>181</v>
      </c>
      <c r="K4" s="82" t="s">
        <v>182</v>
      </c>
      <c r="L4" s="80" t="s">
        <v>36</v>
      </c>
      <c r="M4" s="82" t="s">
        <v>182</v>
      </c>
      <c r="N4" s="80" t="s">
        <v>183</v>
      </c>
      <c r="O4" s="82" t="s">
        <v>184</v>
      </c>
      <c r="P4" s="83" t="s">
        <v>36</v>
      </c>
      <c r="Q4" s="84" t="s">
        <v>180</v>
      </c>
      <c r="R4" s="84" t="s">
        <v>181</v>
      </c>
      <c r="S4" s="85" t="s">
        <v>182</v>
      </c>
      <c r="T4" s="83" t="s">
        <v>36</v>
      </c>
      <c r="U4" s="84" t="s">
        <v>180</v>
      </c>
      <c r="V4" s="84" t="s">
        <v>181</v>
      </c>
      <c r="W4" s="85" t="s">
        <v>182</v>
      </c>
      <c r="X4" s="83" t="s">
        <v>36</v>
      </c>
      <c r="Y4" s="85" t="s">
        <v>182</v>
      </c>
      <c r="Z4" s="83" t="s">
        <v>183</v>
      </c>
      <c r="AA4" s="85" t="s">
        <v>184</v>
      </c>
    </row>
    <row r="5" spans="2:27" ht="16.5" customHeight="1" x14ac:dyDescent="0.4">
      <c r="B5" s="113" t="s">
        <v>185</v>
      </c>
      <c r="C5" s="79" t="s">
        <v>186</v>
      </c>
      <c r="D5" s="37">
        <f>最新日選擇權三大法人!E4</f>
        <v>90745</v>
      </c>
      <c r="E5" s="38">
        <f>IF(ISERROR(最新日彙整!G5*1000/最新日彙整!D5/50),"",最新日彙整!G5*1000/最新日彙整!D5/50)</f>
        <v>45.999228607636788</v>
      </c>
      <c r="F5" s="38">
        <f>IF(E5="","",LOOKUP(1,0/FREQUENCY(0,(最新日整理選擇權報價!$C:$C-E5)^2),最新日整理選擇權報價!$B:$B))</f>
        <v>16750</v>
      </c>
      <c r="G5" s="39">
        <f>最新日選擇權三大法人!F4</f>
        <v>208710</v>
      </c>
      <c r="H5" s="37">
        <f>最新日選擇權三大法人!G4</f>
        <v>91072</v>
      </c>
      <c r="I5" s="38">
        <f>IF(ISERROR(最新日彙整!K5*1000/最新日彙整!H5/50),"",最新日彙整!K5*1000/最新日彙整!H5/50)</f>
        <v>46.643973998594518</v>
      </c>
      <c r="J5" s="38">
        <f>IF(I5="","",LOOKUP(1,0/FREQUENCY(0,(最新日整理選擇權報價!$C:$C-I5)^2),最新日整理選擇權報價!$B:$B))</f>
        <v>16750</v>
      </c>
      <c r="K5" s="39">
        <f>最新日選擇權三大法人!H4</f>
        <v>212398</v>
      </c>
      <c r="L5" s="37">
        <f>最新日選擇權三大法人!I4</f>
        <v>-327</v>
      </c>
      <c r="M5" s="39">
        <f>最新日選擇權三大法人!J4</f>
        <v>-3689</v>
      </c>
      <c r="N5" s="37">
        <f>IF(L5=0,"",IF(L5&gt;0,F5,J5))</f>
        <v>16750</v>
      </c>
      <c r="O5" s="40" t="str">
        <f>IF(L5=0,"",IF(L5&gt;0,"做多買進買權"&amp;F5,"做空賣出買權"&amp;J5))</f>
        <v>做空賣出買權16750</v>
      </c>
      <c r="P5" s="41">
        <f>最新日選擇權三大法人!K4</f>
        <v>68895</v>
      </c>
      <c r="Q5" s="42">
        <f>IF(ISERROR(最新日彙整!S5*1000/最新日彙整!P5/50),"",最新日彙整!S5*1000/最新日彙整!P5/50)</f>
        <v>97.717976631105302</v>
      </c>
      <c r="R5" s="42">
        <f>IF(Q5="","",LOOKUP(1,0/FREQUENCY(0,(最新日整理選擇權報價!$C:$C-Q5)^2),最新日整理選擇權報價!$B:$B))</f>
        <v>16650</v>
      </c>
      <c r="S5" s="43">
        <f>最新日選擇權三大法人!L4</f>
        <v>336614</v>
      </c>
      <c r="T5" s="41">
        <f>最新日選擇權三大法人!M4</f>
        <v>73881</v>
      </c>
      <c r="U5" s="42">
        <f>IF(ISERROR(最新日彙整!W5*1000/最新日彙整!T5/50),"",最新日彙整!W5*1000/最新日彙整!T5/50)</f>
        <v>45.773879617222292</v>
      </c>
      <c r="V5" s="42">
        <f>IF(U5="","",LOOKUP(1,0/FREQUENCY(0,(最新日整理選擇權報價!$C:$C-U5)^2),最新日整理選擇權報價!$B:$B))</f>
        <v>16750</v>
      </c>
      <c r="W5" s="43">
        <f>最新日選擇權三大法人!N4</f>
        <v>169091</v>
      </c>
      <c r="X5" s="41">
        <f>最新日選擇權三大法人!O4</f>
        <v>-4986</v>
      </c>
      <c r="Y5" s="43">
        <f>最新日選擇權三大法人!P4</f>
        <v>167523</v>
      </c>
      <c r="Z5" s="41">
        <f>IF(X5=0,"",IF(X5&gt;0,R5,V5))</f>
        <v>16750</v>
      </c>
      <c r="AA5" s="44" t="str">
        <f>IF(X5=0,"",IF(X5&gt;0,"做多買進買權"&amp;R5,"做空賣出買權"&amp;V5))</f>
        <v>做空賣出買權16750</v>
      </c>
    </row>
    <row r="6" spans="2:27" x14ac:dyDescent="0.4">
      <c r="B6" s="114"/>
      <c r="C6" s="63" t="s">
        <v>187</v>
      </c>
      <c r="D6" s="46">
        <f>最新日選擇權三大法人!B5</f>
        <v>0</v>
      </c>
      <c r="E6" s="47" t="str">
        <f>IF(ISERROR(最新日彙整!G6*1000/最新日彙整!D6/50),"",最新日彙整!G6*1000/最新日彙整!D6/50)</f>
        <v/>
      </c>
      <c r="F6" s="117" t="str">
        <f>IF(E6="","",LOOKUP(1,0/FREQUENCY(0,(最新日整理選擇權報價!$C:$C-E6)^2),最新日整理選擇權報價!$B:$B))</f>
        <v/>
      </c>
      <c r="G6" s="48">
        <f>最新日選擇權三大法人!C5</f>
        <v>0</v>
      </c>
      <c r="H6" s="46">
        <f>最新日選擇權三大法人!D5</f>
        <v>0</v>
      </c>
      <c r="I6" s="47" t="str">
        <f>IF(ISERROR(最新日彙整!K6*1000/最新日彙整!H6/50),"",最新日彙整!K6*1000/最新日彙整!H6/50)</f>
        <v/>
      </c>
      <c r="J6" s="117" t="str">
        <f>IF(I6="","",LOOKUP(1,0/FREQUENCY(0,(最新日整理選擇權報價!$C:$C-I6)^2),最新日整理選擇權報價!$B:$B))</f>
        <v/>
      </c>
      <c r="K6" s="48">
        <f>最新日選擇權三大法人!E5</f>
        <v>0</v>
      </c>
      <c r="L6" s="46">
        <f>最新日選擇權三大法人!F5</f>
        <v>0</v>
      </c>
      <c r="M6" s="48">
        <f>最新日選擇權三大法人!G5</f>
        <v>0</v>
      </c>
      <c r="N6" s="46" t="str">
        <f t="shared" ref="N6:N7" si="0">IF(L6=0,"",IF(L6&gt;0,F6,J6))</f>
        <v/>
      </c>
      <c r="O6" s="49" t="str">
        <f t="shared" ref="O6:O7" si="1">IF(L6=0,"",IF(L6&gt;0,"做多買進買權"&amp;F6,"做空賣出買權"&amp;J6))</f>
        <v/>
      </c>
      <c r="P6" s="50">
        <f>最新日選擇權三大法人!H5</f>
        <v>0</v>
      </c>
      <c r="Q6" s="35" t="str">
        <f>IF(ISERROR(最新日彙整!S6*1000/最新日彙整!P6/50),"",最新日彙整!S6*1000/最新日彙整!P6/50)</f>
        <v/>
      </c>
      <c r="R6" s="118" t="str">
        <f>IF(Q6="","",LOOKUP(1,0/FREQUENCY(0,(最新日整理選擇權報價!$C:$C-Q6)^2),最新日整理選擇權報價!$B:$B))</f>
        <v/>
      </c>
      <c r="S6" s="51">
        <f>最新日選擇權三大法人!I5</f>
        <v>0</v>
      </c>
      <c r="T6" s="50">
        <f>最新日選擇權三大法人!J5</f>
        <v>0</v>
      </c>
      <c r="U6" s="35" t="str">
        <f>IF(ISERROR(最新日彙整!W6*1000/最新日彙整!T6/50),"",最新日彙整!W6*1000/最新日彙整!T6/50)</f>
        <v/>
      </c>
      <c r="V6" s="118" t="str">
        <f>IF(U6="","",LOOKUP(1,0/FREQUENCY(0,(最新日整理選擇權報價!$C:$C-U6)^2),最新日整理選擇權報價!$B:$B))</f>
        <v/>
      </c>
      <c r="W6" s="51">
        <f>最新日選擇權三大法人!K5</f>
        <v>0</v>
      </c>
      <c r="X6" s="50">
        <f>最新日選擇權三大法人!L5</f>
        <v>0</v>
      </c>
      <c r="Y6" s="51">
        <f>最新日選擇權三大法人!M5</f>
        <v>0</v>
      </c>
      <c r="Z6" s="50" t="str">
        <f t="shared" ref="Z6:Z7" si="2">IF(X6=0,"",IF(X6&gt;0,R6,V6))</f>
        <v/>
      </c>
      <c r="AA6" s="52" t="str">
        <f t="shared" ref="AA6:AA7" si="3">IF(X6=0,"",IF(X6&gt;0,"做多買進買權"&amp;R6,"做空賣出買權"&amp;V6))</f>
        <v/>
      </c>
    </row>
    <row r="7" spans="2:27" ht="17.5" thickBot="1" x14ac:dyDescent="0.45">
      <c r="B7" s="115"/>
      <c r="C7" s="80" t="s">
        <v>188</v>
      </c>
      <c r="D7" s="54">
        <f>最新日選擇權三大法人!B6</f>
        <v>67518</v>
      </c>
      <c r="E7" s="55">
        <f>IF(ISERROR(最新日彙整!G7*1000/最新日彙整!D7/50),"",最新日彙整!G7*1000/最新日彙整!D7/50)</f>
        <v>81.245889984892926</v>
      </c>
      <c r="F7" s="117">
        <f>IF(E7="","",LOOKUP(1,0/FREQUENCY(0,(最新日整理選擇權報價!$C:$C-E7)^2),最新日整理選擇權報價!$B:$B))</f>
        <v>16700</v>
      </c>
      <c r="G7" s="56">
        <f>最新日選擇權三大法人!C6</f>
        <v>274278</v>
      </c>
      <c r="H7" s="54">
        <f>最新日選擇權三大法人!D6</f>
        <v>61453</v>
      </c>
      <c r="I7" s="55">
        <f>IF(ISERROR(最新日彙整!K7*1000/最新日彙整!H7/50),"",最新日彙整!K7*1000/最新日彙整!H7/50)</f>
        <v>85.914438676712294</v>
      </c>
      <c r="J7" s="55">
        <f>IF(I7="","",LOOKUP(1,0/FREQUENCY(0,(最新日整理選擇權報價!$C:$C-I7)^2),最新日整理選擇權報價!$B:$B))</f>
        <v>16700</v>
      </c>
      <c r="K7" s="56">
        <f>最新日選擇權三大法人!E6</f>
        <v>263985</v>
      </c>
      <c r="L7" s="54">
        <f>最新日選擇權三大法人!F6</f>
        <v>6065</v>
      </c>
      <c r="M7" s="56">
        <f>最新日選擇權三大法人!G6</f>
        <v>10293</v>
      </c>
      <c r="N7" s="54">
        <f t="shared" si="0"/>
        <v>16700</v>
      </c>
      <c r="O7" s="57" t="str">
        <f t="shared" si="1"/>
        <v>做多買進買權16700</v>
      </c>
      <c r="P7" s="58">
        <f>最新日選擇權三大法人!H6</f>
        <v>55616</v>
      </c>
      <c r="Q7" s="59">
        <f>IF(ISERROR(最新日彙整!S7*1000/最新日彙整!P7/50),"",最新日彙整!S7*1000/最新日彙整!P7/50)</f>
        <v>66.57544591484465</v>
      </c>
      <c r="R7" s="59">
        <f>IF(Q7="","",LOOKUP(1,0/FREQUENCY(0,(最新日整理選擇權報價!$C:$C-Q7)^2),最新日整理選擇權報價!$B:$B))</f>
        <v>16700</v>
      </c>
      <c r="S7" s="60">
        <f>最新日選擇權三大法人!I6</f>
        <v>185133</v>
      </c>
      <c r="T7" s="58">
        <f>最新日選擇權三大法人!J6</f>
        <v>34705</v>
      </c>
      <c r="U7" s="59">
        <f>IF(ISERROR(最新日彙整!W7*1000/最新日彙整!T7/50),"",最新日彙整!W7*1000/最新日彙整!T7/50)</f>
        <v>156.08817173317965</v>
      </c>
      <c r="V7" s="59">
        <f>IF(U7="","",LOOKUP(1,0/FREQUENCY(0,(最新日整理選擇權報價!$C:$C-U7)^2),最新日整理選擇權報價!$B:$B))</f>
        <v>16550</v>
      </c>
      <c r="W7" s="60">
        <f>最新日選擇權三大法人!K6</f>
        <v>270852</v>
      </c>
      <c r="X7" s="58">
        <f>最新日選擇權三大法人!L6</f>
        <v>20911</v>
      </c>
      <c r="Y7" s="60">
        <f>最新日選擇權三大法人!M6</f>
        <v>-85719</v>
      </c>
      <c r="Z7" s="58">
        <f t="shared" si="2"/>
        <v>16700</v>
      </c>
      <c r="AA7" s="61" t="str">
        <f t="shared" si="3"/>
        <v>做多買進買權16700</v>
      </c>
    </row>
    <row r="8" spans="2:27" ht="16.5" customHeight="1" x14ac:dyDescent="0.4">
      <c r="B8" s="113" t="s">
        <v>189</v>
      </c>
      <c r="C8" s="79" t="s">
        <v>186</v>
      </c>
      <c r="D8" s="37">
        <f>最新日選擇權三大法人!C7</f>
        <v>81906</v>
      </c>
      <c r="E8" s="38">
        <f>IF(ISERROR(最新日彙整!G8*1000/最新日彙整!D8/50),"",最新日彙整!G8*1000/最新日彙整!D8/50)</f>
        <v>42.092886967987695</v>
      </c>
      <c r="F8" s="38">
        <f>IF(E8="","",LOOKUP(1,0/FREQUENCY(0,(最新日整理選擇權報價!$G:$G-E8)^2),最新日整理選擇權報價!$B:$B))</f>
        <v>16550</v>
      </c>
      <c r="G8" s="39">
        <f>最新日選擇權三大法人!D7</f>
        <v>172383</v>
      </c>
      <c r="H8" s="37">
        <f>最新日選擇權三大法人!E7</f>
        <v>84066</v>
      </c>
      <c r="I8" s="38">
        <f>IF(ISERROR(最新日彙整!K8*1000/最新日彙整!H8/50),"",最新日彙整!K8*1000/最新日彙整!H8/50)</f>
        <v>41.15456902909618</v>
      </c>
      <c r="J8" s="117">
        <f>IF(I8="","",LOOKUP(1,0/FREQUENCY(0,(最新日整理選擇權報價!$G:$G-I8)^2),最新日整理選擇權報價!$B:$B))</f>
        <v>16550</v>
      </c>
      <c r="K8" s="39">
        <f>最新日選擇權三大法人!F7</f>
        <v>172985</v>
      </c>
      <c r="L8" s="37">
        <f>最新日選擇權三大法人!G7</f>
        <v>-2160</v>
      </c>
      <c r="M8" s="39">
        <f>最新日選擇權三大法人!H7</f>
        <v>-602</v>
      </c>
      <c r="N8" s="37">
        <f>IF(L8=0,"",IF(L8&lt;0,J8,F8))</f>
        <v>16550</v>
      </c>
      <c r="O8" s="40" t="str">
        <f>IF(L8=0,"",IF(L8&lt;0,"做多賣出賣權"&amp;J8,"做空買進賣權"&amp;F8))</f>
        <v>做多賣出賣權16550</v>
      </c>
      <c r="P8" s="41">
        <f>最新日選擇權三大法人!I7</f>
        <v>53767</v>
      </c>
      <c r="Q8" s="42">
        <f>IF(ISERROR(最新日彙整!S8*1000/最新日彙整!P8/50),"",最新日彙整!S8*1000/最新日彙整!P8/50)</f>
        <v>125.16710993732215</v>
      </c>
      <c r="R8" s="118">
        <f>IF(Q8="","",LOOKUP(1,0/FREQUENCY(0,(最新日整理選擇權報價!$G:$G-Q8)^2),最新日整理選擇權報價!$B:$B))</f>
        <v>16750</v>
      </c>
      <c r="S8" s="43">
        <f>最新日選擇權三大法人!J7</f>
        <v>336493</v>
      </c>
      <c r="T8" s="41">
        <f>最新日選擇權三大法人!K7</f>
        <v>59921</v>
      </c>
      <c r="U8" s="42">
        <f>IF(ISERROR(最新日彙整!W8*1000/最新日彙整!T8/50),"",最新日彙整!W8*1000/最新日彙整!T8/50)</f>
        <v>94.214716042789675</v>
      </c>
      <c r="V8" s="118">
        <f>IF(U8="","",LOOKUP(1,0/FREQUENCY(0,(最新日整理選擇權報價!$G:$G-U8)^2),最新日整理選擇權報價!$B:$B))</f>
        <v>16700</v>
      </c>
      <c r="W8" s="43">
        <f>最新日選擇權三大法人!L7</f>
        <v>282272</v>
      </c>
      <c r="X8" s="41">
        <f>最新日選擇權三大法人!M7</f>
        <v>-6154</v>
      </c>
      <c r="Y8" s="43">
        <f>最新日選擇權三大法人!N7</f>
        <v>54221</v>
      </c>
      <c r="Z8" s="41">
        <f>IF(X8=0,"",IF(X8&lt;0,V8,R8))</f>
        <v>16700</v>
      </c>
      <c r="AA8" s="44" t="str">
        <f>IF(X8=0,"",IF(X8&lt;0,"做多賣出賣權"&amp;V8,"做空買進賣權"&amp;R8))</f>
        <v>做多賣出賣權16700</v>
      </c>
    </row>
    <row r="9" spans="2:27" x14ac:dyDescent="0.4">
      <c r="B9" s="114"/>
      <c r="C9" s="63" t="s">
        <v>187</v>
      </c>
      <c r="D9" s="46">
        <f>最新日選擇權三大法人!B8</f>
        <v>1</v>
      </c>
      <c r="E9" s="47">
        <f>IF(ISERROR(最新日彙整!G9*1000/最新日彙整!D9/50),"",最新日彙整!G9*1000/最新日彙整!D9/50)</f>
        <v>0</v>
      </c>
      <c r="F9" s="117">
        <f>IF(E9="","",LOOKUP(1,0/FREQUENCY(0,(最新日整理選擇權報價!$G:$G-E9)^2),最新日整理選擇權報價!$B:$B))</f>
        <v>14200</v>
      </c>
      <c r="G9" s="48">
        <f>最新日選擇權三大法人!C8</f>
        <v>0</v>
      </c>
      <c r="H9" s="46">
        <f>最新日選擇權三大法人!D8</f>
        <v>1</v>
      </c>
      <c r="I9" s="47">
        <f>IF(ISERROR(最新日彙整!K9*1000/最新日彙整!H9/50),"",最新日彙整!K9*1000/最新日彙整!H9/50)</f>
        <v>240</v>
      </c>
      <c r="J9" s="117">
        <f>IF(I9="","",LOOKUP(1,0/FREQUENCY(0,(最新日整理選擇權報價!$G:$G-I9)^2),最新日整理選擇權報價!$B:$B))</f>
        <v>16900</v>
      </c>
      <c r="K9" s="48">
        <f>最新日選擇權三大法人!E8</f>
        <v>12</v>
      </c>
      <c r="L9" s="46">
        <f>最新日選擇權三大法人!F8</f>
        <v>0</v>
      </c>
      <c r="M9" s="48">
        <f>最新日選擇權三大法人!G8</f>
        <v>-11</v>
      </c>
      <c r="N9" s="46" t="str">
        <f t="shared" ref="N9:N10" si="4">IF(L9=0,"",IF(L9&lt;0,J9,F9))</f>
        <v/>
      </c>
      <c r="O9" s="49" t="str">
        <f t="shared" ref="O9:O10" si="5">IF(L9=0,"",IF(L9&lt;0,"做多賣出賣權"&amp;J9,"做空買進賣權"&amp;F9))</f>
        <v/>
      </c>
      <c r="P9" s="50">
        <f>最新日選擇權三大法人!H8</f>
        <v>0</v>
      </c>
      <c r="Q9" s="35" t="str">
        <f>IF(ISERROR(最新日彙整!S9*1000/最新日彙整!P9/50),"",最新日彙整!S9*1000/最新日彙整!P9/50)</f>
        <v/>
      </c>
      <c r="R9" s="118" t="str">
        <f>IF(Q9="","",LOOKUP(1,0/FREQUENCY(0,(最新日整理選擇權報價!$G:$G-Q9)^2),最新日整理選擇權報價!$B:$B))</f>
        <v/>
      </c>
      <c r="S9" s="51">
        <f>最新日選擇權三大法人!I8</f>
        <v>0</v>
      </c>
      <c r="T9" s="50">
        <f>最新日選擇權三大法人!J8</f>
        <v>60</v>
      </c>
      <c r="U9" s="35">
        <f>IF(ISERROR(最新日彙整!W9*1000/最新日彙整!T9/50),"",最新日彙整!W9*1000/最新日彙整!T9/50)</f>
        <v>568.66666666666663</v>
      </c>
      <c r="V9" s="118">
        <f>IF(U9="","",LOOKUP(1,0/FREQUENCY(0,(最新日整理選擇權報價!$G:$G-U9)^2),最新日整理選擇權報價!$B:$B))</f>
        <v>17250</v>
      </c>
      <c r="W9" s="51">
        <f>最新日選擇權三大法人!K8</f>
        <v>1706</v>
      </c>
      <c r="X9" s="50">
        <f>最新日選擇權三大法人!L8</f>
        <v>-60</v>
      </c>
      <c r="Y9" s="51">
        <f>最新日選擇權三大法人!M8</f>
        <v>-1706</v>
      </c>
      <c r="Z9" s="50">
        <f t="shared" ref="Z9:Z10" si="6">IF(X9=0,"",IF(X9&lt;0,V9,R9))</f>
        <v>17250</v>
      </c>
      <c r="AA9" s="52" t="str">
        <f t="shared" ref="AA9:AA10" si="7">IF(X9=0,"",IF(X9&lt;0,"做多賣出賣權"&amp;V9,"做空買進賣權"&amp;R9))</f>
        <v>做多賣出賣權17250</v>
      </c>
    </row>
    <row r="10" spans="2:27" ht="17.5" thickBot="1" x14ac:dyDescent="0.45">
      <c r="B10" s="115"/>
      <c r="C10" s="80" t="s">
        <v>188</v>
      </c>
      <c r="D10" s="54">
        <f>最新日選擇權三大法人!B9</f>
        <v>62408</v>
      </c>
      <c r="E10" s="55">
        <f>IF(ISERROR(最新日彙整!G10*1000/最新日彙整!D10/50),"",最新日彙整!G10*1000/最新日彙整!D10/50)</f>
        <v>81.285732598384826</v>
      </c>
      <c r="F10" s="55">
        <f>IF(E10="","",LOOKUP(1,0/FREQUENCY(0,(最新日整理選擇權報價!$G:$G-E10)^2),最新日整理選擇權報價!$B:$B))</f>
        <v>16650</v>
      </c>
      <c r="G10" s="56">
        <f>最新日選擇權三大法人!C9</f>
        <v>253644</v>
      </c>
      <c r="H10" s="54">
        <f>最新日選擇權三大法人!D9</f>
        <v>60782</v>
      </c>
      <c r="I10" s="55">
        <f>IF(ISERROR(最新日彙整!K10*1000/最新日彙整!H10/50),"",最新日彙整!K10*1000/最新日彙整!H10/50)</f>
        <v>83.194037708532122</v>
      </c>
      <c r="J10" s="55">
        <f>IF(I10="","",LOOKUP(1,0/FREQUENCY(0,(最新日整理選擇權報價!$G:$G-I10)^2),最新日整理選擇權報價!$B:$B))</f>
        <v>16650</v>
      </c>
      <c r="K10" s="56">
        <f>最新日選擇權三大法人!E9</f>
        <v>252835</v>
      </c>
      <c r="L10" s="54">
        <f>最新日選擇權三大法人!F9</f>
        <v>1626</v>
      </c>
      <c r="M10" s="56">
        <f>最新日選擇權三大法人!G9</f>
        <v>809</v>
      </c>
      <c r="N10" s="54">
        <f t="shared" si="4"/>
        <v>16650</v>
      </c>
      <c r="O10" s="57" t="str">
        <f t="shared" si="5"/>
        <v>做空買進賣權16650</v>
      </c>
      <c r="P10" s="58">
        <f>最新日選擇權三大法人!H9</f>
        <v>107559</v>
      </c>
      <c r="Q10" s="59">
        <f>IF(ISERROR(最新日彙整!S10*1000/最新日彙整!P10/50),"",最新日彙整!S10*1000/最新日彙整!P10/50)</f>
        <v>138.34825537611917</v>
      </c>
      <c r="R10" s="59">
        <f>IF(Q10="","",LOOKUP(1,0/FREQUENCY(0,(最新日整理選擇權報價!$G:$G-Q10)^2),最新日整理選擇權報價!$B:$B))</f>
        <v>16750</v>
      </c>
      <c r="S10" s="60">
        <f>最新日選擇權三大法人!I9</f>
        <v>744030</v>
      </c>
      <c r="T10" s="58">
        <f>最新日選擇權三大法人!J9</f>
        <v>65771</v>
      </c>
      <c r="U10" s="59">
        <f>IF(ISERROR(最新日彙整!W10*1000/最新日彙整!T10/50),"",最新日彙整!W10*1000/最新日彙整!T10/50)</f>
        <v>253.23653281841541</v>
      </c>
      <c r="V10" s="59">
        <f>IF(U10="","",LOOKUP(1,0/FREQUENCY(0,(最新日整理選擇權報價!$G:$G-U10)^2),最新日整理選擇權報價!$B:$B))</f>
        <v>16900</v>
      </c>
      <c r="W10" s="60">
        <f>最新日選擇權三大法人!K9</f>
        <v>832781</v>
      </c>
      <c r="X10" s="58">
        <f>最新日選擇權三大法人!L9</f>
        <v>41788</v>
      </c>
      <c r="Y10" s="60">
        <f>最新日選擇權三大法人!M9</f>
        <v>-88751</v>
      </c>
      <c r="Z10" s="58">
        <f t="shared" si="6"/>
        <v>16750</v>
      </c>
      <c r="AA10" s="61" t="str">
        <f t="shared" si="7"/>
        <v>做空買進賣權16750</v>
      </c>
    </row>
    <row r="11" spans="2:27" ht="17.5" thickBot="1" x14ac:dyDescent="0.45"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</row>
    <row r="12" spans="2:27" ht="17.5" thickBot="1" x14ac:dyDescent="0.45">
      <c r="B12" s="95" t="s">
        <v>190</v>
      </c>
      <c r="C12" s="96"/>
      <c r="D12" s="101" t="s">
        <v>175</v>
      </c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3"/>
      <c r="P12" s="104" t="s">
        <v>31</v>
      </c>
      <c r="Q12" s="105"/>
      <c r="R12" s="105"/>
      <c r="S12" s="105"/>
      <c r="T12" s="105"/>
      <c r="U12" s="105"/>
      <c r="V12" s="105"/>
      <c r="W12" s="105"/>
      <c r="X12" s="105"/>
      <c r="Y12" s="105"/>
      <c r="Z12" s="106"/>
      <c r="AA12" s="107"/>
    </row>
    <row r="13" spans="2:27" ht="17.5" thickBot="1" x14ac:dyDescent="0.45">
      <c r="B13" s="97"/>
      <c r="C13" s="98"/>
      <c r="D13" s="101" t="s">
        <v>177</v>
      </c>
      <c r="E13" s="102"/>
      <c r="F13" s="102"/>
      <c r="G13" s="103"/>
      <c r="H13" s="101" t="s">
        <v>178</v>
      </c>
      <c r="I13" s="102"/>
      <c r="J13" s="102"/>
      <c r="K13" s="103"/>
      <c r="L13" s="101" t="s">
        <v>179</v>
      </c>
      <c r="M13" s="108"/>
      <c r="N13" s="33"/>
      <c r="O13" s="34"/>
      <c r="P13" s="104" t="s">
        <v>177</v>
      </c>
      <c r="Q13" s="105"/>
      <c r="R13" s="105"/>
      <c r="S13" s="109"/>
      <c r="T13" s="104" t="s">
        <v>178</v>
      </c>
      <c r="U13" s="105"/>
      <c r="V13" s="105"/>
      <c r="W13" s="109"/>
      <c r="X13" s="104" t="s">
        <v>179</v>
      </c>
      <c r="Y13" s="109"/>
      <c r="Z13" s="104"/>
      <c r="AA13" s="109"/>
    </row>
    <row r="14" spans="2:27" ht="17.5" thickBot="1" x14ac:dyDescent="0.45">
      <c r="B14" s="99"/>
      <c r="C14" s="100"/>
      <c r="D14" s="63" t="s">
        <v>36</v>
      </c>
      <c r="E14" s="64" t="s">
        <v>191</v>
      </c>
      <c r="F14" s="64" t="s">
        <v>192</v>
      </c>
      <c r="G14" s="65" t="s">
        <v>182</v>
      </c>
      <c r="H14" s="63" t="s">
        <v>36</v>
      </c>
      <c r="I14" s="64" t="s">
        <v>191</v>
      </c>
      <c r="J14" s="64" t="s">
        <v>192</v>
      </c>
      <c r="K14" s="65" t="s">
        <v>182</v>
      </c>
      <c r="L14" s="63" t="s">
        <v>36</v>
      </c>
      <c r="M14" s="65" t="s">
        <v>182</v>
      </c>
      <c r="N14" s="80" t="s">
        <v>183</v>
      </c>
      <c r="O14" s="82" t="s">
        <v>184</v>
      </c>
      <c r="P14" s="66" t="s">
        <v>36</v>
      </c>
      <c r="Q14" s="67" t="s">
        <v>191</v>
      </c>
      <c r="R14" s="67" t="s">
        <v>192</v>
      </c>
      <c r="S14" s="68" t="s">
        <v>182</v>
      </c>
      <c r="T14" s="66" t="s">
        <v>36</v>
      </c>
      <c r="U14" s="67" t="s">
        <v>191</v>
      </c>
      <c r="V14" s="67" t="s">
        <v>192</v>
      </c>
      <c r="W14" s="68" t="s">
        <v>182</v>
      </c>
      <c r="X14" s="66" t="s">
        <v>36</v>
      </c>
      <c r="Y14" s="68" t="s">
        <v>182</v>
      </c>
      <c r="Z14" s="66" t="s">
        <v>183</v>
      </c>
      <c r="AA14" s="68" t="s">
        <v>184</v>
      </c>
    </row>
    <row r="15" spans="2:27" ht="16.5" customHeight="1" x14ac:dyDescent="0.4">
      <c r="B15" s="110" t="s">
        <v>190</v>
      </c>
      <c r="C15" s="79" t="s">
        <v>186</v>
      </c>
      <c r="D15" s="36">
        <f>最新日期貨三大法人!D4</f>
        <v>14548</v>
      </c>
      <c r="E15" s="69">
        <v>200</v>
      </c>
      <c r="F15" s="69">
        <f>IF(ISERROR(G15*1000/D15/E15),"",G15*1000/D15/E15)</f>
        <v>16769.260379433599</v>
      </c>
      <c r="G15" s="40">
        <f>最新日期貨三大法人!E4</f>
        <v>48791840</v>
      </c>
      <c r="H15" s="69">
        <f>最新日期貨三大法人!F4</f>
        <v>14380</v>
      </c>
      <c r="I15" s="69">
        <v>200</v>
      </c>
      <c r="J15" s="69">
        <f>IF(ISERROR(K15*1000/H15/I15),"",K15*1000/H15/I15)</f>
        <v>16779.098748261473</v>
      </c>
      <c r="K15" s="69">
        <f>最新日期貨三大法人!G4</f>
        <v>48256688</v>
      </c>
      <c r="L15" s="36">
        <f>最新日期貨三大法人!H4</f>
        <v>168</v>
      </c>
      <c r="M15" s="40">
        <f>最新日期貨三大法人!I4</f>
        <v>535152</v>
      </c>
      <c r="N15" s="36">
        <f>IF(L15=0,"",IF(L15&gt;0,F15,J15))</f>
        <v>16769.260379433599</v>
      </c>
      <c r="O15" s="40" t="str">
        <f>IF(L15=0,"",IF(L15&gt;0,"做多期貨"&amp;TEXT(F15,0),"做空期貨"&amp;TEXT(J15,0)))</f>
        <v>做多期貨16769</v>
      </c>
      <c r="P15" s="70">
        <f>最新日期貨三大法人!J4</f>
        <v>21114</v>
      </c>
      <c r="Q15" s="70">
        <v>200</v>
      </c>
      <c r="R15" s="70">
        <f>IF(ISERROR(S15*1000/P15/Q15),"",S15*1000/P15/Q15)</f>
        <v>16682.280477408356</v>
      </c>
      <c r="S15" s="44">
        <f>最新日期貨三大法人!K4</f>
        <v>70445934</v>
      </c>
      <c r="T15" s="70">
        <f>最新日期貨三大法人!L4</f>
        <v>7831</v>
      </c>
      <c r="U15" s="70">
        <v>200</v>
      </c>
      <c r="V15" s="70">
        <f>IF(ISERROR(W15*1000/T15/U15),"",W15*1000/T15/U15)</f>
        <v>16683.888392287063</v>
      </c>
      <c r="W15" s="44">
        <f>最新日期貨三大法人!M4</f>
        <v>26130306</v>
      </c>
      <c r="X15" s="71">
        <f>最新日期貨三大法人!N4</f>
        <v>13283</v>
      </c>
      <c r="Y15" s="44">
        <f>最新日期貨三大法人!O4</f>
        <v>44315628</v>
      </c>
      <c r="Z15" s="71">
        <f>IF(X15=0,"",IF(X15&gt;0,R15,V15))</f>
        <v>16682.280477408356</v>
      </c>
      <c r="AA15" s="44" t="str">
        <f>IF(X15=0,"",IF(X15&gt;0,"做多期貨"&amp;TEXT(R15,0),"做空期貨"&amp;TEXT(V15,0)))</f>
        <v>做多期貨16682</v>
      </c>
    </row>
    <row r="16" spans="2:27" x14ac:dyDescent="0.4">
      <c r="B16" s="111"/>
      <c r="C16" s="63" t="s">
        <v>187</v>
      </c>
      <c r="D16" s="45">
        <f>最新日期貨三大法人!B5</f>
        <v>17718</v>
      </c>
      <c r="E16" s="72">
        <v>200</v>
      </c>
      <c r="F16" s="72">
        <f t="shared" ref="F16:F62" si="8">IF(ISERROR(G16*1000/D16/E16),"",G16*1000/D16/E16)</f>
        <v>16767.813805169884</v>
      </c>
      <c r="G16" s="49">
        <f>最新日期貨三大法人!C5</f>
        <v>59418425</v>
      </c>
      <c r="H16" s="72">
        <f>最新日期貨三大法人!D5</f>
        <v>17577</v>
      </c>
      <c r="I16" s="72">
        <v>200</v>
      </c>
      <c r="J16" s="72">
        <f t="shared" ref="J16:J62" si="9">IF(ISERROR(K16*1000/H16/I16),"",K16*1000/H16/I16)</f>
        <v>16760.242646640498</v>
      </c>
      <c r="K16" s="72">
        <f>最新日期貨三大法人!E5</f>
        <v>58918957</v>
      </c>
      <c r="L16" s="45">
        <f>最新日期貨三大法人!F5</f>
        <v>141</v>
      </c>
      <c r="M16" s="49">
        <f>最新日期貨三大法人!G5</f>
        <v>499467</v>
      </c>
      <c r="N16" s="45">
        <f t="shared" ref="N16:N62" si="10">IF(L16=0,"",IF(L16&gt;0,F16,J16))</f>
        <v>16767.813805169884</v>
      </c>
      <c r="O16" s="49" t="str">
        <f t="shared" ref="O16:O62" si="11">IF(L16=0,"",IF(L16&gt;0,"做多期貨"&amp;TEXT(F16,0),"做空期貨"&amp;TEXT(J16,0)))</f>
        <v>做多期貨16768</v>
      </c>
      <c r="P16" s="73">
        <f>最新日期貨三大法人!H5</f>
        <v>13423</v>
      </c>
      <c r="Q16" s="73">
        <v>200</v>
      </c>
      <c r="R16" s="73">
        <f t="shared" ref="R16:R62" si="12">IF(ISERROR(S16*1000/P16/Q16),"",S16*1000/P16/Q16)</f>
        <v>16704.260969976905</v>
      </c>
      <c r="S16" s="52">
        <f>最新日期貨三大法人!I5</f>
        <v>44844259</v>
      </c>
      <c r="T16" s="73">
        <f>最新日期貨三大法人!J5</f>
        <v>17088</v>
      </c>
      <c r="U16" s="73">
        <v>200</v>
      </c>
      <c r="V16" s="73">
        <f t="shared" ref="V16:V62" si="13">IF(ISERROR(W16*1000/T16/U16),"",W16*1000/T16/U16)</f>
        <v>16701.498127340823</v>
      </c>
      <c r="W16" s="52">
        <f>最新日期貨三大法人!K5</f>
        <v>57079040</v>
      </c>
      <c r="X16" s="74">
        <f>最新日期貨三大法人!L5</f>
        <v>-3665</v>
      </c>
      <c r="Y16" s="52">
        <f>最新日期貨三大法人!M5</f>
        <v>-12234781</v>
      </c>
      <c r="Z16" s="74">
        <f t="shared" ref="Z16:Z62" si="14">IF(X16=0,"",IF(X16&gt;0,R16,V16))</f>
        <v>16701.498127340823</v>
      </c>
      <c r="AA16" s="52" t="str">
        <f t="shared" ref="AA16:AA62" si="15">IF(X16=0,"",IF(X16&gt;0,"做多期貨"&amp;TEXT(R16,0),"做空期貨"&amp;TEXT(V16,0)))</f>
        <v>做空期貨16701</v>
      </c>
    </row>
    <row r="17" spans="2:27" ht="17.5" thickBot="1" x14ac:dyDescent="0.45">
      <c r="B17" s="112"/>
      <c r="C17" s="80" t="s">
        <v>188</v>
      </c>
      <c r="D17" s="53">
        <f>最新日期貨三大法人!B6</f>
        <v>66086</v>
      </c>
      <c r="E17" s="75">
        <v>200</v>
      </c>
      <c r="F17" s="75">
        <f t="shared" si="8"/>
        <v>16784.394803740579</v>
      </c>
      <c r="G17" s="57">
        <f>最新日期貨三大法人!C6</f>
        <v>221842703</v>
      </c>
      <c r="H17" s="75">
        <f>最新日期貨三大法人!D6</f>
        <v>67429</v>
      </c>
      <c r="I17" s="75">
        <v>200</v>
      </c>
      <c r="J17" s="75">
        <f t="shared" si="9"/>
        <v>16783.720654317873</v>
      </c>
      <c r="K17" s="75">
        <f>最新日期貨三大法人!E6</f>
        <v>226341900</v>
      </c>
      <c r="L17" s="53">
        <f>最新日期貨三大法人!F6</f>
        <v>-1343</v>
      </c>
      <c r="M17" s="57">
        <f>最新日期貨三大法人!G6</f>
        <v>-4499197</v>
      </c>
      <c r="N17" s="53">
        <f t="shared" si="10"/>
        <v>16783.720654317873</v>
      </c>
      <c r="O17" s="57" t="str">
        <f t="shared" si="11"/>
        <v>做空期貨16784</v>
      </c>
      <c r="P17" s="76">
        <f>最新日期貨三大法人!H6</f>
        <v>24078</v>
      </c>
      <c r="Q17" s="76">
        <v>200</v>
      </c>
      <c r="R17" s="76">
        <f t="shared" si="12"/>
        <v>16704.295207243125</v>
      </c>
      <c r="S17" s="61">
        <f>最新日期貨三大法人!I6</f>
        <v>80441204</v>
      </c>
      <c r="T17" s="76">
        <f>最新日期貨三大法人!J6</f>
        <v>43080</v>
      </c>
      <c r="U17" s="76">
        <v>200</v>
      </c>
      <c r="V17" s="76">
        <f t="shared" si="13"/>
        <v>16699.452646239555</v>
      </c>
      <c r="W17" s="61">
        <f>最新日期貨三大法人!K6</f>
        <v>143882484</v>
      </c>
      <c r="X17" s="77">
        <f>最新日期貨三大法人!L6</f>
        <v>-19002</v>
      </c>
      <c r="Y17" s="61">
        <f>最新日期貨三大法人!M6</f>
        <v>-63441280</v>
      </c>
      <c r="Z17" s="77">
        <f t="shared" si="14"/>
        <v>16699.452646239555</v>
      </c>
      <c r="AA17" s="61" t="str">
        <f t="shared" si="15"/>
        <v>做空期貨16699</v>
      </c>
    </row>
    <row r="18" spans="2:27" ht="16.5" customHeight="1" x14ac:dyDescent="0.4">
      <c r="B18" s="110" t="s">
        <v>193</v>
      </c>
      <c r="C18" s="79" t="s">
        <v>186</v>
      </c>
      <c r="D18" s="45">
        <f>最新日期貨三大法人!D7</f>
        <v>501</v>
      </c>
      <c r="E18" s="69">
        <v>4000</v>
      </c>
      <c r="F18" s="69">
        <f t="shared" si="8"/>
        <v>794.55938123752492</v>
      </c>
      <c r="G18" s="72">
        <f>最新日期貨三大法人!E7</f>
        <v>1592297</v>
      </c>
      <c r="H18" s="36">
        <f>最新日期貨三大法人!F7</f>
        <v>543</v>
      </c>
      <c r="I18" s="69">
        <v>4000</v>
      </c>
      <c r="J18" s="69">
        <f t="shared" si="9"/>
        <v>794.30248618784537</v>
      </c>
      <c r="K18" s="69">
        <f>最新日期貨三大法人!G7</f>
        <v>1725225</v>
      </c>
      <c r="L18" s="36">
        <f>最新日期貨三大法人!H7</f>
        <v>-42</v>
      </c>
      <c r="M18" s="40">
        <f>最新日期貨三大法人!I7</f>
        <v>-132927</v>
      </c>
      <c r="N18" s="36">
        <f t="shared" si="10"/>
        <v>794.30248618784537</v>
      </c>
      <c r="O18" s="40" t="str">
        <f t="shared" si="11"/>
        <v>做空期貨794</v>
      </c>
      <c r="P18" s="70">
        <f>最新日期貨三大法人!J7</f>
        <v>477</v>
      </c>
      <c r="Q18" s="70">
        <v>4000</v>
      </c>
      <c r="R18" s="70">
        <f t="shared" si="12"/>
        <v>788.57651991614262</v>
      </c>
      <c r="S18" s="44">
        <f>最新日期貨三大法人!K7</f>
        <v>1504604</v>
      </c>
      <c r="T18" s="70">
        <f>最新日期貨三大法人!L7</f>
        <v>473</v>
      </c>
      <c r="U18" s="70">
        <v>4000</v>
      </c>
      <c r="V18" s="70">
        <f t="shared" si="13"/>
        <v>788.92758985200851</v>
      </c>
      <c r="W18" s="44">
        <f>最新日期貨三大法人!M7</f>
        <v>1492651</v>
      </c>
      <c r="X18" s="71">
        <f>最新日期貨三大法人!N7</f>
        <v>4</v>
      </c>
      <c r="Y18" s="44">
        <f>最新日期貨三大法人!O7</f>
        <v>11953</v>
      </c>
      <c r="Z18" s="71">
        <f t="shared" si="14"/>
        <v>788.57651991614262</v>
      </c>
      <c r="AA18" s="44" t="str">
        <f t="shared" si="15"/>
        <v>做多期貨789</v>
      </c>
    </row>
    <row r="19" spans="2:27" x14ac:dyDescent="0.4">
      <c r="B19" s="111"/>
      <c r="C19" s="63" t="s">
        <v>187</v>
      </c>
      <c r="D19" s="45">
        <f>最新日期貨三大法人!B8</f>
        <v>32</v>
      </c>
      <c r="E19" s="72">
        <v>4000</v>
      </c>
      <c r="F19" s="72">
        <f t="shared" si="8"/>
        <v>791.46875</v>
      </c>
      <c r="G19" s="72">
        <f>最新日期貨三大法人!C8</f>
        <v>101308</v>
      </c>
      <c r="H19" s="45">
        <f>最新日期貨三大法人!D8</f>
        <v>32</v>
      </c>
      <c r="I19" s="72">
        <v>4000</v>
      </c>
      <c r="J19" s="72">
        <f t="shared" si="9"/>
        <v>793.3046875</v>
      </c>
      <c r="K19" s="72">
        <f>最新日期貨三大法人!E8</f>
        <v>101543</v>
      </c>
      <c r="L19" s="45">
        <f>最新日期貨三大法人!F8</f>
        <v>0</v>
      </c>
      <c r="M19" s="49">
        <f>最新日期貨三大法人!G8</f>
        <v>-235</v>
      </c>
      <c r="N19" s="45" t="str">
        <f t="shared" si="10"/>
        <v/>
      </c>
      <c r="O19" s="49" t="str">
        <f t="shared" si="11"/>
        <v/>
      </c>
      <c r="P19" s="73">
        <f>最新日期貨三大法人!H8</f>
        <v>165</v>
      </c>
      <c r="Q19" s="73">
        <v>4000</v>
      </c>
      <c r="R19" s="73">
        <f t="shared" si="12"/>
        <v>788.7893939393939</v>
      </c>
      <c r="S19" s="52">
        <f>最新日期貨三大法人!I8</f>
        <v>520601</v>
      </c>
      <c r="T19" s="73">
        <f>最新日期貨三大法人!J8</f>
        <v>0</v>
      </c>
      <c r="U19" s="73">
        <v>4000</v>
      </c>
      <c r="V19" s="73" t="str">
        <f t="shared" si="13"/>
        <v/>
      </c>
      <c r="W19" s="52">
        <f>最新日期貨三大法人!K8</f>
        <v>0</v>
      </c>
      <c r="X19" s="74">
        <f>最新日期貨三大法人!L8</f>
        <v>165</v>
      </c>
      <c r="Y19" s="52">
        <f>最新日期貨三大法人!M8</f>
        <v>520601</v>
      </c>
      <c r="Z19" s="74">
        <f t="shared" si="14"/>
        <v>788.7893939393939</v>
      </c>
      <c r="AA19" s="52" t="str">
        <f t="shared" si="15"/>
        <v>做多期貨789</v>
      </c>
    </row>
    <row r="20" spans="2:27" ht="17.5" thickBot="1" x14ac:dyDescent="0.45">
      <c r="B20" s="112"/>
      <c r="C20" s="80" t="s">
        <v>188</v>
      </c>
      <c r="D20" s="53">
        <f>最新日期貨三大法人!B9</f>
        <v>1110</v>
      </c>
      <c r="E20" s="75">
        <v>4000</v>
      </c>
      <c r="F20" s="75">
        <f t="shared" si="8"/>
        <v>794.54887387387384</v>
      </c>
      <c r="G20" s="75">
        <f>最新日期貨三大法人!C9</f>
        <v>3527797</v>
      </c>
      <c r="H20" s="53">
        <f>最新日期貨三大法人!D9</f>
        <v>1082</v>
      </c>
      <c r="I20" s="75">
        <v>4000</v>
      </c>
      <c r="J20" s="75">
        <f t="shared" si="9"/>
        <v>794.81307763401105</v>
      </c>
      <c r="K20" s="75">
        <f>最新日期貨三大法人!E9</f>
        <v>3439951</v>
      </c>
      <c r="L20" s="53">
        <f>最新日期貨三大法人!F9</f>
        <v>28</v>
      </c>
      <c r="M20" s="57">
        <f>最新日期貨三大法人!G9</f>
        <v>87846</v>
      </c>
      <c r="N20" s="53">
        <f t="shared" si="10"/>
        <v>794.54887387387384</v>
      </c>
      <c r="O20" s="57" t="str">
        <f t="shared" si="11"/>
        <v>做多期貨795</v>
      </c>
      <c r="P20" s="76">
        <f>最新日期貨三大法人!H9</f>
        <v>817</v>
      </c>
      <c r="Q20" s="76">
        <v>4000</v>
      </c>
      <c r="R20" s="76">
        <f t="shared" si="12"/>
        <v>788.90208078335377</v>
      </c>
      <c r="S20" s="61">
        <f>最新日期貨三大法人!I9</f>
        <v>2578132</v>
      </c>
      <c r="T20" s="76">
        <f>最新日期貨三大法人!J9</f>
        <v>474</v>
      </c>
      <c r="U20" s="76">
        <v>4000</v>
      </c>
      <c r="V20" s="76">
        <f t="shared" si="13"/>
        <v>788.80959915611811</v>
      </c>
      <c r="W20" s="61">
        <f>最新日期貨三大法人!K9</f>
        <v>1495583</v>
      </c>
      <c r="X20" s="77">
        <f>最新日期貨三大法人!L9</f>
        <v>343</v>
      </c>
      <c r="Y20" s="61">
        <f>最新日期貨三大法人!M9</f>
        <v>1082549</v>
      </c>
      <c r="Z20" s="77">
        <f t="shared" si="14"/>
        <v>788.90208078335377</v>
      </c>
      <c r="AA20" s="61" t="str">
        <f t="shared" si="15"/>
        <v>做多期貨789</v>
      </c>
    </row>
    <row r="21" spans="2:27" ht="16.5" customHeight="1" x14ac:dyDescent="0.4">
      <c r="B21" s="110" t="s">
        <v>194</v>
      </c>
      <c r="C21" s="79" t="s">
        <v>186</v>
      </c>
      <c r="D21" s="36">
        <f>最新日期貨三大法人!D10</f>
        <v>231</v>
      </c>
      <c r="E21" s="69">
        <v>1000</v>
      </c>
      <c r="F21" s="69">
        <f t="shared" si="8"/>
        <v>1600.5844155844156</v>
      </c>
      <c r="G21" s="69">
        <f>最新日期貨三大法人!E10</f>
        <v>369735</v>
      </c>
      <c r="H21" s="36">
        <f>最新日期貨三大法人!F10</f>
        <v>246</v>
      </c>
      <c r="I21" s="69">
        <v>1000</v>
      </c>
      <c r="J21" s="69">
        <f t="shared" si="9"/>
        <v>1600.7439024390244</v>
      </c>
      <c r="K21" s="69">
        <f>最新日期貨三大法人!G10</f>
        <v>393783</v>
      </c>
      <c r="L21" s="36">
        <f>最新日期貨三大法人!H10</f>
        <v>-15</v>
      </c>
      <c r="M21" s="40">
        <f>最新日期貨三大法人!I10</f>
        <v>-24048</v>
      </c>
      <c r="N21" s="36">
        <f t="shared" si="10"/>
        <v>1600.7439024390244</v>
      </c>
      <c r="O21" s="40" t="str">
        <f t="shared" si="11"/>
        <v>做空期貨1601</v>
      </c>
      <c r="P21" s="70">
        <f>最新日期貨三大法人!J10</f>
        <v>466</v>
      </c>
      <c r="Q21" s="70">
        <v>1000</v>
      </c>
      <c r="R21" s="70">
        <f t="shared" si="12"/>
        <v>1599.5214592274679</v>
      </c>
      <c r="S21" s="44">
        <f>最新日期貨三大法人!K10</f>
        <v>745377</v>
      </c>
      <c r="T21" s="70">
        <f>最新日期貨三大法人!L10</f>
        <v>274</v>
      </c>
      <c r="U21" s="70">
        <v>1000</v>
      </c>
      <c r="V21" s="70">
        <f t="shared" si="13"/>
        <v>1599.1678832116788</v>
      </c>
      <c r="W21" s="44">
        <f>最新日期貨三大法人!M10</f>
        <v>438172</v>
      </c>
      <c r="X21" s="71">
        <f>最新日期貨三大法人!N10</f>
        <v>192</v>
      </c>
      <c r="Y21" s="44">
        <f>最新日期貨三大法人!O10</f>
        <v>307205</v>
      </c>
      <c r="Z21" s="71">
        <f t="shared" si="14"/>
        <v>1599.5214592274679</v>
      </c>
      <c r="AA21" s="44" t="str">
        <f t="shared" si="15"/>
        <v>做多期貨1600</v>
      </c>
    </row>
    <row r="22" spans="2:27" x14ac:dyDescent="0.4">
      <c r="B22" s="111"/>
      <c r="C22" s="63" t="s">
        <v>187</v>
      </c>
      <c r="D22" s="45">
        <f>最新日期貨三大法人!B11</f>
        <v>0</v>
      </c>
      <c r="E22" s="72">
        <v>1000</v>
      </c>
      <c r="F22" s="72" t="str">
        <f t="shared" si="8"/>
        <v/>
      </c>
      <c r="G22" s="72">
        <f>最新日期貨三大法人!C11</f>
        <v>0</v>
      </c>
      <c r="H22" s="45">
        <f>最新日期貨三大法人!D11</f>
        <v>0</v>
      </c>
      <c r="I22" s="72">
        <v>1000</v>
      </c>
      <c r="J22" s="72" t="str">
        <f t="shared" si="9"/>
        <v/>
      </c>
      <c r="K22" s="72">
        <f>最新日期貨三大法人!E11</f>
        <v>0</v>
      </c>
      <c r="L22" s="45">
        <f>最新日期貨三大法人!F11</f>
        <v>0</v>
      </c>
      <c r="M22" s="49">
        <f>最新日期貨三大法人!G11</f>
        <v>0</v>
      </c>
      <c r="N22" s="45" t="str">
        <f t="shared" si="10"/>
        <v/>
      </c>
      <c r="O22" s="49" t="str">
        <f t="shared" si="11"/>
        <v/>
      </c>
      <c r="P22" s="73">
        <f>最新日期貨三大法人!H11</f>
        <v>24</v>
      </c>
      <c r="Q22" s="73">
        <v>1000</v>
      </c>
      <c r="R22" s="73">
        <f t="shared" si="12"/>
        <v>1600.2083333333333</v>
      </c>
      <c r="S22" s="52">
        <f>最新日期貨三大法人!I11</f>
        <v>38405</v>
      </c>
      <c r="T22" s="73">
        <f>最新日期貨三大法人!J11</f>
        <v>0</v>
      </c>
      <c r="U22" s="73">
        <v>1000</v>
      </c>
      <c r="V22" s="73" t="str">
        <f t="shared" si="13"/>
        <v/>
      </c>
      <c r="W22" s="52">
        <f>最新日期貨三大法人!K11</f>
        <v>0</v>
      </c>
      <c r="X22" s="74">
        <f>最新日期貨三大法人!L11</f>
        <v>24</v>
      </c>
      <c r="Y22" s="52">
        <f>最新日期貨三大法人!M11</f>
        <v>38405</v>
      </c>
      <c r="Z22" s="74">
        <f t="shared" si="14"/>
        <v>1600.2083333333333</v>
      </c>
      <c r="AA22" s="52" t="str">
        <f t="shared" si="15"/>
        <v>做多期貨1600</v>
      </c>
    </row>
    <row r="23" spans="2:27" ht="17.5" thickBot="1" x14ac:dyDescent="0.45">
      <c r="B23" s="112"/>
      <c r="C23" s="80" t="s">
        <v>188</v>
      </c>
      <c r="D23" s="53">
        <f>最新日期貨三大法人!B12</f>
        <v>630</v>
      </c>
      <c r="E23" s="75">
        <v>1000</v>
      </c>
      <c r="F23" s="75">
        <f t="shared" si="8"/>
        <v>1600.9603174603174</v>
      </c>
      <c r="G23" s="75">
        <f>最新日期貨三大法人!C12</f>
        <v>1008605</v>
      </c>
      <c r="H23" s="53">
        <f>最新日期貨三大法人!D12</f>
        <v>668</v>
      </c>
      <c r="I23" s="75">
        <v>1000</v>
      </c>
      <c r="J23" s="75">
        <f t="shared" si="9"/>
        <v>1600.6287425149701</v>
      </c>
      <c r="K23" s="75">
        <f>最新日期貨三大法人!E12</f>
        <v>1069220</v>
      </c>
      <c r="L23" s="53">
        <f>最新日期貨三大法人!F12</f>
        <v>-38</v>
      </c>
      <c r="M23" s="57">
        <f>最新日期貨三大法人!G12</f>
        <v>-60615</v>
      </c>
      <c r="N23" s="53">
        <f t="shared" si="10"/>
        <v>1600.6287425149701</v>
      </c>
      <c r="O23" s="57" t="str">
        <f t="shared" si="11"/>
        <v>做空期貨1601</v>
      </c>
      <c r="P23" s="76">
        <f>最新日期貨三大法人!H12</f>
        <v>617</v>
      </c>
      <c r="Q23" s="76">
        <v>1000</v>
      </c>
      <c r="R23" s="76">
        <f t="shared" si="12"/>
        <v>1598.7844408427877</v>
      </c>
      <c r="S23" s="61">
        <f>最新日期貨三大法人!I12</f>
        <v>986450</v>
      </c>
      <c r="T23" s="76">
        <f>最新日期貨三大法人!J12</f>
        <v>2259</v>
      </c>
      <c r="U23" s="76">
        <v>1000</v>
      </c>
      <c r="V23" s="76">
        <f t="shared" si="13"/>
        <v>1599.5914121292608</v>
      </c>
      <c r="W23" s="61">
        <f>最新日期貨三大法人!K12</f>
        <v>3613477</v>
      </c>
      <c r="X23" s="77">
        <f>最新日期貨三大法人!L12</f>
        <v>-1642</v>
      </c>
      <c r="Y23" s="61">
        <f>最新日期貨三大法人!M12</f>
        <v>-2627027</v>
      </c>
      <c r="Z23" s="77">
        <f t="shared" si="14"/>
        <v>1599.5914121292608</v>
      </c>
      <c r="AA23" s="61" t="str">
        <f t="shared" si="15"/>
        <v>做空期貨1600</v>
      </c>
    </row>
    <row r="24" spans="2:27" ht="16.5" customHeight="1" x14ac:dyDescent="0.4">
      <c r="B24" s="110" t="s">
        <v>195</v>
      </c>
      <c r="C24" s="79" t="s">
        <v>186</v>
      </c>
      <c r="D24" s="36">
        <f>最新日期貨三大法人!D13</f>
        <v>11042</v>
      </c>
      <c r="E24" s="69">
        <v>50</v>
      </c>
      <c r="F24" s="69">
        <f t="shared" si="8"/>
        <v>16777.71599347944</v>
      </c>
      <c r="G24" s="69">
        <f>最新日期貨三大法人!E13</f>
        <v>9262977</v>
      </c>
      <c r="H24" s="36">
        <f>最新日期貨三大法人!F13</f>
        <v>13233</v>
      </c>
      <c r="I24" s="69">
        <v>50</v>
      </c>
      <c r="J24" s="69">
        <f t="shared" si="9"/>
        <v>16777.846293357514</v>
      </c>
      <c r="K24" s="69">
        <f>最新日期貨三大法人!G13</f>
        <v>11101062</v>
      </c>
      <c r="L24" s="36">
        <f>最新日期貨三大法人!H13</f>
        <v>-2191</v>
      </c>
      <c r="M24" s="40">
        <f>最新日期貨三大法人!I13</f>
        <v>-1838085</v>
      </c>
      <c r="N24" s="36">
        <f t="shared" si="10"/>
        <v>16777.846293357514</v>
      </c>
      <c r="O24" s="40" t="str">
        <f t="shared" si="11"/>
        <v>做空期貨16778</v>
      </c>
      <c r="P24" s="70">
        <f>最新日期貨三大法人!J13</f>
        <v>15592</v>
      </c>
      <c r="Q24" s="70">
        <v>50</v>
      </c>
      <c r="R24" s="70">
        <f t="shared" si="12"/>
        <v>16688.657003591583</v>
      </c>
      <c r="S24" s="44">
        <f>最新日期貨三大法人!K13</f>
        <v>13010477</v>
      </c>
      <c r="T24" s="70">
        <f>最新日期貨三大法人!L13</f>
        <v>13034</v>
      </c>
      <c r="U24" s="70">
        <v>50</v>
      </c>
      <c r="V24" s="70">
        <f t="shared" si="13"/>
        <v>16671.695565444221</v>
      </c>
      <c r="W24" s="44">
        <f>最新日期貨三大法人!M13</f>
        <v>10864944</v>
      </c>
      <c r="X24" s="71">
        <f>最新日期貨三大法人!N13</f>
        <v>2558</v>
      </c>
      <c r="Y24" s="44">
        <f>最新日期貨三大法人!O13</f>
        <v>2145533</v>
      </c>
      <c r="Z24" s="71">
        <f t="shared" si="14"/>
        <v>16688.657003591583</v>
      </c>
      <c r="AA24" s="44" t="str">
        <f t="shared" si="15"/>
        <v>做多期貨16689</v>
      </c>
    </row>
    <row r="25" spans="2:27" x14ac:dyDescent="0.4">
      <c r="B25" s="111"/>
      <c r="C25" s="63" t="s">
        <v>187</v>
      </c>
      <c r="D25" s="45">
        <f>最新日期貨三大法人!B14</f>
        <v>58</v>
      </c>
      <c r="E25" s="72">
        <v>50</v>
      </c>
      <c r="F25" s="72">
        <f t="shared" si="8"/>
        <v>16699.655172413793</v>
      </c>
      <c r="G25" s="72">
        <f>最新日期貨三大法人!C14</f>
        <v>48429</v>
      </c>
      <c r="H25" s="45">
        <f>最新日期貨三大法人!D14</f>
        <v>53</v>
      </c>
      <c r="I25" s="72">
        <v>50</v>
      </c>
      <c r="J25" s="72">
        <f t="shared" si="9"/>
        <v>16729.056603773584</v>
      </c>
      <c r="K25" s="72">
        <f>最新日期貨三大法人!E14</f>
        <v>44332</v>
      </c>
      <c r="L25" s="45">
        <f>最新日期貨三大法人!F14</f>
        <v>5</v>
      </c>
      <c r="M25" s="49">
        <f>最新日期貨三大法人!G14</f>
        <v>4097</v>
      </c>
      <c r="N25" s="45">
        <f t="shared" si="10"/>
        <v>16699.655172413793</v>
      </c>
      <c r="O25" s="49" t="str">
        <f t="shared" si="11"/>
        <v>做多期貨16700</v>
      </c>
      <c r="P25" s="73">
        <f>最新日期貨三大法人!H14</f>
        <v>254</v>
      </c>
      <c r="Q25" s="73">
        <v>50</v>
      </c>
      <c r="R25" s="73">
        <f t="shared" si="12"/>
        <v>16713.937007874014</v>
      </c>
      <c r="S25" s="52">
        <f>最新日期貨三大法人!I14</f>
        <v>212267</v>
      </c>
      <c r="T25" s="73">
        <f>最新日期貨三大法人!J14</f>
        <v>0</v>
      </c>
      <c r="U25" s="73">
        <v>50</v>
      </c>
      <c r="V25" s="73" t="str">
        <f t="shared" si="13"/>
        <v/>
      </c>
      <c r="W25" s="52">
        <f>最新日期貨三大法人!K14</f>
        <v>0</v>
      </c>
      <c r="X25" s="74">
        <f>最新日期貨三大法人!L14</f>
        <v>254</v>
      </c>
      <c r="Y25" s="52">
        <f>最新日期貨三大法人!M14</f>
        <v>212267</v>
      </c>
      <c r="Z25" s="74">
        <f t="shared" si="14"/>
        <v>16713.937007874014</v>
      </c>
      <c r="AA25" s="52" t="str">
        <f t="shared" si="15"/>
        <v>做多期貨16714</v>
      </c>
    </row>
    <row r="26" spans="2:27" ht="17.5" thickBot="1" x14ac:dyDescent="0.45">
      <c r="B26" s="112"/>
      <c r="C26" s="80" t="s">
        <v>188</v>
      </c>
      <c r="D26" s="53">
        <f>最新日期貨三大法人!B15</f>
        <v>83865</v>
      </c>
      <c r="E26" s="75">
        <v>50</v>
      </c>
      <c r="F26" s="75">
        <f t="shared" si="8"/>
        <v>16792.641984141181</v>
      </c>
      <c r="G26" s="75">
        <f>最新日期貨三大法人!C15</f>
        <v>70415746</v>
      </c>
      <c r="H26" s="53">
        <f>最新日期貨三大法人!D15</f>
        <v>83761</v>
      </c>
      <c r="I26" s="75">
        <v>50</v>
      </c>
      <c r="J26" s="75">
        <f t="shared" si="9"/>
        <v>16793.134991225033</v>
      </c>
      <c r="K26" s="75">
        <f>最新日期貨三大法人!E15</f>
        <v>70330489</v>
      </c>
      <c r="L26" s="53">
        <f>最新日期貨三大法人!F15</f>
        <v>104</v>
      </c>
      <c r="M26" s="57">
        <f>最新日期貨三大法人!G15</f>
        <v>85257</v>
      </c>
      <c r="N26" s="53">
        <f t="shared" si="10"/>
        <v>16792.641984141181</v>
      </c>
      <c r="O26" s="57" t="str">
        <f t="shared" si="11"/>
        <v>做多期貨16793</v>
      </c>
      <c r="P26" s="76">
        <f>最新日期貨三大法人!H15</f>
        <v>4023</v>
      </c>
      <c r="Q26" s="76">
        <v>50</v>
      </c>
      <c r="R26" s="76">
        <f t="shared" si="12"/>
        <v>16719.691772309223</v>
      </c>
      <c r="S26" s="61">
        <f>最新日期貨三大法人!I15</f>
        <v>3363166</v>
      </c>
      <c r="T26" s="76">
        <f>最新日期貨三大法人!J15</f>
        <v>12213</v>
      </c>
      <c r="U26" s="76">
        <v>50</v>
      </c>
      <c r="V26" s="76">
        <f t="shared" si="13"/>
        <v>16717.38311635143</v>
      </c>
      <c r="W26" s="61">
        <f>最新日期貨三大法人!K15</f>
        <v>10208470</v>
      </c>
      <c r="X26" s="77">
        <f>最新日期貨三大法人!L15</f>
        <v>-8190</v>
      </c>
      <c r="Y26" s="61">
        <f>最新日期貨三大法人!M15</f>
        <v>-6845304</v>
      </c>
      <c r="Z26" s="77">
        <f t="shared" si="14"/>
        <v>16717.38311635143</v>
      </c>
      <c r="AA26" s="61" t="str">
        <f t="shared" si="15"/>
        <v>做空期貨16717</v>
      </c>
    </row>
    <row r="27" spans="2:27" ht="16.5" customHeight="1" x14ac:dyDescent="0.4">
      <c r="B27" s="110" t="s">
        <v>196</v>
      </c>
      <c r="C27" s="79" t="s">
        <v>186</v>
      </c>
      <c r="D27" s="36">
        <f>最新日期貨三大法人!D16</f>
        <v>929</v>
      </c>
      <c r="E27" s="69">
        <v>50</v>
      </c>
      <c r="F27" s="69">
        <f t="shared" si="8"/>
        <v>7962.2820236813777</v>
      </c>
      <c r="G27" s="69">
        <f>最新日期貨三大法人!E16</f>
        <v>369848</v>
      </c>
      <c r="H27" s="36">
        <f>最新日期貨三大法人!F16</f>
        <v>1080</v>
      </c>
      <c r="I27" s="69">
        <v>50</v>
      </c>
      <c r="J27" s="69">
        <f t="shared" si="9"/>
        <v>7959.3703703703704</v>
      </c>
      <c r="K27" s="69">
        <f>最新日期貨三大法人!G16</f>
        <v>429806</v>
      </c>
      <c r="L27" s="36">
        <f>最新日期貨三大法人!H16</f>
        <v>-151</v>
      </c>
      <c r="M27" s="40">
        <f>最新日期貨三大法人!I16</f>
        <v>-59959</v>
      </c>
      <c r="N27" s="36">
        <f t="shared" si="10"/>
        <v>7959.3703703703704</v>
      </c>
      <c r="O27" s="40" t="str">
        <f t="shared" si="11"/>
        <v>做空期貨7959</v>
      </c>
      <c r="P27" s="70">
        <f>最新日期貨三大法人!J16</f>
        <v>533</v>
      </c>
      <c r="Q27" s="70">
        <v>50</v>
      </c>
      <c r="R27" s="70">
        <f t="shared" si="12"/>
        <v>7889.7560975609758</v>
      </c>
      <c r="S27" s="44">
        <f>最新日期貨三大法人!K16</f>
        <v>210262</v>
      </c>
      <c r="T27" s="70">
        <f>最新日期貨三大法人!L16</f>
        <v>455</v>
      </c>
      <c r="U27" s="70">
        <v>50</v>
      </c>
      <c r="V27" s="70">
        <f t="shared" si="13"/>
        <v>7885.8901098901106</v>
      </c>
      <c r="W27" s="44">
        <f>最新日期貨三大法人!M16</f>
        <v>179404</v>
      </c>
      <c r="X27" s="71">
        <f>最新日期貨三大法人!N16</f>
        <v>78</v>
      </c>
      <c r="Y27" s="44">
        <f>最新日期貨三大法人!O16</f>
        <v>30858</v>
      </c>
      <c r="Z27" s="71">
        <f t="shared" si="14"/>
        <v>7889.7560975609758</v>
      </c>
      <c r="AA27" s="44" t="str">
        <f t="shared" si="15"/>
        <v>做多期貨7890</v>
      </c>
    </row>
    <row r="28" spans="2:27" x14ac:dyDescent="0.4">
      <c r="B28" s="111"/>
      <c r="C28" s="63" t="s">
        <v>187</v>
      </c>
      <c r="D28" s="45">
        <f>最新日期貨三大法人!B17</f>
        <v>0</v>
      </c>
      <c r="E28" s="72">
        <v>50</v>
      </c>
      <c r="F28" s="72" t="str">
        <f t="shared" si="8"/>
        <v/>
      </c>
      <c r="G28" s="72">
        <f>最新日期貨三大法人!C17</f>
        <v>0</v>
      </c>
      <c r="H28" s="45">
        <f>最新日期貨三大法人!D17</f>
        <v>0</v>
      </c>
      <c r="I28" s="72">
        <v>50</v>
      </c>
      <c r="J28" s="72" t="str">
        <f t="shared" si="9"/>
        <v/>
      </c>
      <c r="K28" s="72">
        <f>最新日期貨三大法人!E17</f>
        <v>0</v>
      </c>
      <c r="L28" s="45">
        <f>最新日期貨三大法人!F17</f>
        <v>0</v>
      </c>
      <c r="M28" s="49">
        <f>最新日期貨三大法人!G17</f>
        <v>0</v>
      </c>
      <c r="N28" s="45" t="str">
        <f t="shared" si="10"/>
        <v/>
      </c>
      <c r="O28" s="49" t="str">
        <f t="shared" si="11"/>
        <v/>
      </c>
      <c r="P28" s="73">
        <f>最新日期貨三大法人!H17</f>
        <v>0</v>
      </c>
      <c r="Q28" s="73">
        <v>50</v>
      </c>
      <c r="R28" s="73" t="str">
        <f t="shared" si="12"/>
        <v/>
      </c>
      <c r="S28" s="52">
        <f>最新日期貨三大法人!I17</f>
        <v>0</v>
      </c>
      <c r="T28" s="73">
        <f>最新日期貨三大法人!J17</f>
        <v>0</v>
      </c>
      <c r="U28" s="73">
        <v>50</v>
      </c>
      <c r="V28" s="73" t="str">
        <f t="shared" si="13"/>
        <v/>
      </c>
      <c r="W28" s="52">
        <f>最新日期貨三大法人!K17</f>
        <v>0</v>
      </c>
      <c r="X28" s="74">
        <f>最新日期貨三大法人!L17</f>
        <v>0</v>
      </c>
      <c r="Y28" s="52">
        <f>最新日期貨三大法人!M17</f>
        <v>0</v>
      </c>
      <c r="Z28" s="74" t="str">
        <f t="shared" si="14"/>
        <v/>
      </c>
      <c r="AA28" s="52" t="str">
        <f t="shared" si="15"/>
        <v/>
      </c>
    </row>
    <row r="29" spans="2:27" ht="17.5" thickBot="1" x14ac:dyDescent="0.45">
      <c r="B29" s="112"/>
      <c r="C29" s="80" t="s">
        <v>188</v>
      </c>
      <c r="D29" s="53">
        <f>最新日期貨三大法人!B18</f>
        <v>1336</v>
      </c>
      <c r="E29" s="75">
        <v>50</v>
      </c>
      <c r="F29" s="75">
        <f t="shared" si="8"/>
        <v>7961.7664670658678</v>
      </c>
      <c r="G29" s="75">
        <f>最新日期貨三大法人!C18</f>
        <v>531846</v>
      </c>
      <c r="H29" s="53">
        <f>最新日期貨三大法人!D18</f>
        <v>1488</v>
      </c>
      <c r="I29" s="75">
        <v>50</v>
      </c>
      <c r="J29" s="75">
        <f t="shared" si="9"/>
        <v>7956.6129032258059</v>
      </c>
      <c r="K29" s="75">
        <f>最新日期貨三大法人!E18</f>
        <v>591972</v>
      </c>
      <c r="L29" s="53">
        <f>最新日期貨三大法人!F18</f>
        <v>-152</v>
      </c>
      <c r="M29" s="57">
        <f>最新日期貨三大法人!G18</f>
        <v>-60126</v>
      </c>
      <c r="N29" s="53">
        <f t="shared" si="10"/>
        <v>7956.6129032258059</v>
      </c>
      <c r="O29" s="57" t="str">
        <f t="shared" si="11"/>
        <v>做空期貨7957</v>
      </c>
      <c r="P29" s="76">
        <f>最新日期貨三大法人!H18</f>
        <v>280</v>
      </c>
      <c r="Q29" s="76">
        <v>50</v>
      </c>
      <c r="R29" s="76">
        <f t="shared" si="12"/>
        <v>7891</v>
      </c>
      <c r="S29" s="61">
        <f>最新日期貨三大法人!I18</f>
        <v>110474</v>
      </c>
      <c r="T29" s="76">
        <f>最新日期貨三大法人!J18</f>
        <v>0</v>
      </c>
      <c r="U29" s="76">
        <v>50</v>
      </c>
      <c r="V29" s="76" t="str">
        <f t="shared" si="13"/>
        <v/>
      </c>
      <c r="W29" s="61">
        <f>最新日期貨三大法人!K18</f>
        <v>0</v>
      </c>
      <c r="X29" s="77">
        <f>最新日期貨三大法人!L18</f>
        <v>280</v>
      </c>
      <c r="Y29" s="61">
        <f>最新日期貨三大法人!M18</f>
        <v>110474</v>
      </c>
      <c r="Z29" s="77">
        <f t="shared" si="14"/>
        <v>7891</v>
      </c>
      <c r="AA29" s="61" t="str">
        <f t="shared" si="15"/>
        <v>做多期貨7891</v>
      </c>
    </row>
    <row r="30" spans="2:27" ht="16.5" customHeight="1" x14ac:dyDescent="0.4">
      <c r="B30" s="110" t="s">
        <v>197</v>
      </c>
      <c r="C30" s="79" t="s">
        <v>186</v>
      </c>
      <c r="D30" s="36">
        <f>最新日期貨三大法人!D19</f>
        <v>0</v>
      </c>
      <c r="E30" s="69">
        <v>2000</v>
      </c>
      <c r="F30" s="69" t="str">
        <f t="shared" si="8"/>
        <v/>
      </c>
      <c r="G30" s="69">
        <f>最新日期貨三大法人!E19</f>
        <v>0</v>
      </c>
      <c r="H30" s="36">
        <f>最新日期貨三大法人!F19</f>
        <v>8</v>
      </c>
      <c r="I30" s="69">
        <v>2000</v>
      </c>
      <c r="J30" s="69">
        <f t="shared" si="9"/>
        <v>665.125</v>
      </c>
      <c r="K30" s="69">
        <f>最新日期貨三大法人!G19</f>
        <v>10642</v>
      </c>
      <c r="L30" s="36">
        <f>最新日期貨三大法人!H19</f>
        <v>-8</v>
      </c>
      <c r="M30" s="40">
        <f>最新日期貨三大法人!I19</f>
        <v>-10642</v>
      </c>
      <c r="N30" s="36">
        <f t="shared" si="10"/>
        <v>665.125</v>
      </c>
      <c r="O30" s="40" t="str">
        <f t="shared" si="11"/>
        <v>做空期貨665</v>
      </c>
      <c r="P30" s="70">
        <f>最新日期貨三大法人!J19</f>
        <v>42</v>
      </c>
      <c r="Q30" s="70">
        <v>2000</v>
      </c>
      <c r="R30" s="70">
        <f t="shared" si="12"/>
        <v>663.84523809523807</v>
      </c>
      <c r="S30" s="44">
        <f>最新日期貨三大法人!K19</f>
        <v>55763</v>
      </c>
      <c r="T30" s="70">
        <f>最新日期貨三大法人!L19</f>
        <v>59</v>
      </c>
      <c r="U30" s="70">
        <v>2000</v>
      </c>
      <c r="V30" s="70">
        <f t="shared" si="13"/>
        <v>663.82203389830499</v>
      </c>
      <c r="W30" s="44">
        <f>最新日期貨三大法人!M19</f>
        <v>78331</v>
      </c>
      <c r="X30" s="71">
        <f>最新日期貨三大法人!N19</f>
        <v>-17</v>
      </c>
      <c r="Y30" s="44">
        <f>最新日期貨三大法人!O19</f>
        <v>-22568</v>
      </c>
      <c r="Z30" s="71">
        <f t="shared" si="14"/>
        <v>663.82203389830499</v>
      </c>
      <c r="AA30" s="44" t="str">
        <f t="shared" si="15"/>
        <v>做空期貨664</v>
      </c>
    </row>
    <row r="31" spans="2:27" x14ac:dyDescent="0.4">
      <c r="B31" s="111"/>
      <c r="C31" s="63" t="s">
        <v>187</v>
      </c>
      <c r="D31" s="45">
        <f>最新日期貨三大法人!B20</f>
        <v>0</v>
      </c>
      <c r="E31" s="72">
        <v>2000</v>
      </c>
      <c r="F31" s="72" t="str">
        <f t="shared" si="8"/>
        <v/>
      </c>
      <c r="G31" s="72">
        <f>最新日期貨三大法人!C20</f>
        <v>0</v>
      </c>
      <c r="H31" s="45">
        <f>最新日期貨三大法人!D20</f>
        <v>0</v>
      </c>
      <c r="I31" s="72">
        <v>2000</v>
      </c>
      <c r="J31" s="72" t="str">
        <f t="shared" si="9"/>
        <v/>
      </c>
      <c r="K31" s="72">
        <f>最新日期貨三大法人!E20</f>
        <v>0</v>
      </c>
      <c r="L31" s="45">
        <f>最新日期貨三大法人!F20</f>
        <v>0</v>
      </c>
      <c r="M31" s="49">
        <f>最新日期貨三大法人!G20</f>
        <v>0</v>
      </c>
      <c r="N31" s="45" t="str">
        <f t="shared" si="10"/>
        <v/>
      </c>
      <c r="O31" s="49" t="str">
        <f t="shared" si="11"/>
        <v/>
      </c>
      <c r="P31" s="73">
        <f>最新日期貨三大法人!H20</f>
        <v>0</v>
      </c>
      <c r="Q31" s="73">
        <v>2000</v>
      </c>
      <c r="R31" s="73" t="str">
        <f t="shared" si="12"/>
        <v/>
      </c>
      <c r="S31" s="52">
        <f>最新日期貨三大法人!I20</f>
        <v>0</v>
      </c>
      <c r="T31" s="73">
        <f>最新日期貨三大法人!J20</f>
        <v>0</v>
      </c>
      <c r="U31" s="73">
        <v>2000</v>
      </c>
      <c r="V31" s="73" t="str">
        <f t="shared" si="13"/>
        <v/>
      </c>
      <c r="W31" s="52">
        <f>最新日期貨三大法人!K20</f>
        <v>0</v>
      </c>
      <c r="X31" s="74">
        <f>最新日期貨三大法人!L20</f>
        <v>0</v>
      </c>
      <c r="Y31" s="52">
        <f>最新日期貨三大法人!M20</f>
        <v>0</v>
      </c>
      <c r="Z31" s="74" t="str">
        <f t="shared" si="14"/>
        <v/>
      </c>
      <c r="AA31" s="52" t="str">
        <f t="shared" si="15"/>
        <v/>
      </c>
    </row>
    <row r="32" spans="2:27" ht="17.5" thickBot="1" x14ac:dyDescent="0.45">
      <c r="B32" s="112"/>
      <c r="C32" s="80" t="s">
        <v>188</v>
      </c>
      <c r="D32" s="53">
        <f>最新日期貨三大法人!B21</f>
        <v>0</v>
      </c>
      <c r="E32" s="75">
        <v>2000</v>
      </c>
      <c r="F32" s="75" t="str">
        <f t="shared" si="8"/>
        <v/>
      </c>
      <c r="G32" s="75">
        <f>最新日期貨三大法人!C21</f>
        <v>0</v>
      </c>
      <c r="H32" s="53">
        <f>最新日期貨三大法人!D21</f>
        <v>0</v>
      </c>
      <c r="I32" s="75">
        <v>2000</v>
      </c>
      <c r="J32" s="75" t="str">
        <f t="shared" si="9"/>
        <v/>
      </c>
      <c r="K32" s="75">
        <f>最新日期貨三大法人!E21</f>
        <v>0</v>
      </c>
      <c r="L32" s="53">
        <f>最新日期貨三大法人!F21</f>
        <v>0</v>
      </c>
      <c r="M32" s="57">
        <f>最新日期貨三大法人!G21</f>
        <v>0</v>
      </c>
      <c r="N32" s="53" t="str">
        <f t="shared" si="10"/>
        <v/>
      </c>
      <c r="O32" s="57" t="str">
        <f t="shared" si="11"/>
        <v/>
      </c>
      <c r="P32" s="76">
        <f>最新日期貨三大法人!H21</f>
        <v>0</v>
      </c>
      <c r="Q32" s="76">
        <v>2000</v>
      </c>
      <c r="R32" s="76" t="str">
        <f t="shared" si="12"/>
        <v/>
      </c>
      <c r="S32" s="61">
        <f>最新日期貨三大法人!I21</f>
        <v>0</v>
      </c>
      <c r="T32" s="76">
        <f>最新日期貨三大法人!J21</f>
        <v>0</v>
      </c>
      <c r="U32" s="76">
        <v>2000</v>
      </c>
      <c r="V32" s="76" t="str">
        <f t="shared" si="13"/>
        <v/>
      </c>
      <c r="W32" s="61">
        <f>最新日期貨三大法人!K21</f>
        <v>0</v>
      </c>
      <c r="X32" s="77">
        <f>最新日期貨三大法人!L21</f>
        <v>0</v>
      </c>
      <c r="Y32" s="61">
        <f>最新日期貨三大法人!M21</f>
        <v>0</v>
      </c>
      <c r="Z32" s="77" t="str">
        <f t="shared" si="14"/>
        <v/>
      </c>
      <c r="AA32" s="61" t="str">
        <f t="shared" si="15"/>
        <v/>
      </c>
    </row>
    <row r="33" spans="2:27" ht="16.5" customHeight="1" x14ac:dyDescent="0.4">
      <c r="B33" s="110" t="s">
        <v>198</v>
      </c>
      <c r="C33" s="79" t="s">
        <v>186</v>
      </c>
      <c r="D33" s="36">
        <f>最新日期貨三大法人!D22</f>
        <v>30243</v>
      </c>
      <c r="E33" s="69">
        <v>1000</v>
      </c>
      <c r="F33" s="69">
        <f t="shared" si="8"/>
        <v>194.37387163971826</v>
      </c>
      <c r="G33" s="69">
        <f>最新日期貨三大法人!E22</f>
        <v>5878449</v>
      </c>
      <c r="H33" s="36">
        <f>最新日期貨三大法人!F22</f>
        <v>30332</v>
      </c>
      <c r="I33" s="69">
        <v>1000</v>
      </c>
      <c r="J33" s="69">
        <f t="shared" si="9"/>
        <v>198.1283463009363</v>
      </c>
      <c r="K33" s="69">
        <f>最新日期貨三大法人!G22</f>
        <v>6009629</v>
      </c>
      <c r="L33" s="36">
        <f>最新日期貨三大法人!H22</f>
        <v>-89</v>
      </c>
      <c r="M33" s="40">
        <f>最新日期貨三大法人!I22</f>
        <v>-131181</v>
      </c>
      <c r="N33" s="36">
        <f t="shared" si="10"/>
        <v>198.1283463009363</v>
      </c>
      <c r="O33" s="40" t="str">
        <f t="shared" si="11"/>
        <v>做空期貨198</v>
      </c>
      <c r="P33" s="70">
        <f>最新日期貨三大法人!J22</f>
        <v>81704</v>
      </c>
      <c r="Q33" s="70">
        <v>1000</v>
      </c>
      <c r="R33" s="70">
        <f t="shared" si="12"/>
        <v>217.04813717810632</v>
      </c>
      <c r="S33" s="44">
        <f>最新日期貨三大法人!K22</f>
        <v>17733701</v>
      </c>
      <c r="T33" s="70">
        <f>最新日期貨三大法人!L22</f>
        <v>59166</v>
      </c>
      <c r="U33" s="70">
        <v>1000</v>
      </c>
      <c r="V33" s="70">
        <f t="shared" si="13"/>
        <v>147.80595274312952</v>
      </c>
      <c r="W33" s="44">
        <f>最新日期貨三大法人!M22</f>
        <v>8745087</v>
      </c>
      <c r="X33" s="71">
        <f>最新日期貨三大法人!N22</f>
        <v>22538</v>
      </c>
      <c r="Y33" s="44">
        <f>最新日期貨三大法人!O22</f>
        <v>8988614</v>
      </c>
      <c r="Z33" s="71">
        <f t="shared" si="14"/>
        <v>217.04813717810632</v>
      </c>
      <c r="AA33" s="44" t="str">
        <f t="shared" si="15"/>
        <v>做多期貨217</v>
      </c>
    </row>
    <row r="34" spans="2:27" x14ac:dyDescent="0.4">
      <c r="B34" s="111"/>
      <c r="C34" s="63" t="s">
        <v>187</v>
      </c>
      <c r="D34" s="45">
        <f>最新日期貨三大法人!B23</f>
        <v>0</v>
      </c>
      <c r="E34" s="72">
        <v>1000</v>
      </c>
      <c r="F34" s="72" t="str">
        <f t="shared" si="8"/>
        <v/>
      </c>
      <c r="G34" s="72">
        <f>最新日期貨三大法人!C23</f>
        <v>0</v>
      </c>
      <c r="H34" s="45">
        <f>最新日期貨三大法人!D23</f>
        <v>0</v>
      </c>
      <c r="I34" s="72">
        <v>1000</v>
      </c>
      <c r="J34" s="72" t="str">
        <f t="shared" si="9"/>
        <v/>
      </c>
      <c r="K34" s="72">
        <f>最新日期貨三大法人!E23</f>
        <v>0</v>
      </c>
      <c r="L34" s="45">
        <f>最新日期貨三大法人!F23</f>
        <v>0</v>
      </c>
      <c r="M34" s="49">
        <f>最新日期貨三大法人!G23</f>
        <v>0</v>
      </c>
      <c r="N34" s="45" t="str">
        <f t="shared" si="10"/>
        <v/>
      </c>
      <c r="O34" s="49" t="str">
        <f t="shared" si="11"/>
        <v/>
      </c>
      <c r="P34" s="73">
        <f>最新日期貨三大法人!H23</f>
        <v>0</v>
      </c>
      <c r="Q34" s="73">
        <v>1000</v>
      </c>
      <c r="R34" s="73" t="str">
        <f t="shared" si="12"/>
        <v/>
      </c>
      <c r="S34" s="52">
        <f>最新日期貨三大法人!I23</f>
        <v>0</v>
      </c>
      <c r="T34" s="73">
        <f>最新日期貨三大法人!J23</f>
        <v>0</v>
      </c>
      <c r="U34" s="73">
        <v>1000</v>
      </c>
      <c r="V34" s="73" t="str">
        <f t="shared" si="13"/>
        <v/>
      </c>
      <c r="W34" s="52">
        <f>最新日期貨三大法人!K23</f>
        <v>0</v>
      </c>
      <c r="X34" s="74">
        <f>最新日期貨三大法人!L23</f>
        <v>0</v>
      </c>
      <c r="Y34" s="52">
        <f>最新日期貨三大法人!M23</f>
        <v>0</v>
      </c>
      <c r="Z34" s="74" t="str">
        <f t="shared" si="14"/>
        <v/>
      </c>
      <c r="AA34" s="52" t="str">
        <f t="shared" si="15"/>
        <v/>
      </c>
    </row>
    <row r="35" spans="2:27" ht="17.5" thickBot="1" x14ac:dyDescent="0.45">
      <c r="B35" s="112"/>
      <c r="C35" s="80" t="s">
        <v>188</v>
      </c>
      <c r="D35" s="53">
        <f>最新日期貨三大法人!B24</f>
        <v>249424</v>
      </c>
      <c r="E35" s="75">
        <v>1000</v>
      </c>
      <c r="F35" s="75">
        <f t="shared" si="8"/>
        <v>225.63099781897492</v>
      </c>
      <c r="G35" s="75">
        <f>最新日期貨三大法人!C24</f>
        <v>56277786</v>
      </c>
      <c r="H35" s="53">
        <f>最新日期貨三大法人!D24</f>
        <v>255383</v>
      </c>
      <c r="I35" s="75">
        <v>1000</v>
      </c>
      <c r="J35" s="75">
        <f t="shared" si="9"/>
        <v>224.66672409674879</v>
      </c>
      <c r="K35" s="75">
        <f>最新日期貨三大法人!E24</f>
        <v>57376062</v>
      </c>
      <c r="L35" s="53">
        <f>最新日期貨三大法人!F24</f>
        <v>-5959</v>
      </c>
      <c r="M35" s="57">
        <f>最新日期貨三大法人!G24</f>
        <v>-1098276</v>
      </c>
      <c r="N35" s="53">
        <f t="shared" si="10"/>
        <v>224.66672409674879</v>
      </c>
      <c r="O35" s="57" t="str">
        <f t="shared" si="11"/>
        <v>做空期貨225</v>
      </c>
      <c r="P35" s="76">
        <f>最新日期貨三大法人!H24</f>
        <v>85028</v>
      </c>
      <c r="Q35" s="76">
        <v>1000</v>
      </c>
      <c r="R35" s="76">
        <f t="shared" si="12"/>
        <v>355.19845227454488</v>
      </c>
      <c r="S35" s="61">
        <f>最新日期貨三大法人!I24</f>
        <v>30201814</v>
      </c>
      <c r="T35" s="76">
        <f>最新日期貨三大法人!J24</f>
        <v>306079</v>
      </c>
      <c r="U35" s="76">
        <v>1000</v>
      </c>
      <c r="V35" s="76">
        <f t="shared" si="13"/>
        <v>269.23128669395811</v>
      </c>
      <c r="W35" s="61">
        <f>最新日期貨三大法人!K24</f>
        <v>82406043</v>
      </c>
      <c r="X35" s="77">
        <f>最新日期貨三大法人!L24</f>
        <v>-221051</v>
      </c>
      <c r="Y35" s="61">
        <f>最新日期貨三大法人!M24</f>
        <v>-52204229</v>
      </c>
      <c r="Z35" s="77">
        <f t="shared" si="14"/>
        <v>269.23128669395811</v>
      </c>
      <c r="AA35" s="61" t="str">
        <f t="shared" si="15"/>
        <v>做空期貨269</v>
      </c>
    </row>
    <row r="36" spans="2:27" ht="16.5" customHeight="1" x14ac:dyDescent="0.4">
      <c r="B36" s="110" t="s">
        <v>199</v>
      </c>
      <c r="C36" s="79" t="s">
        <v>186</v>
      </c>
      <c r="D36" s="36">
        <f>最新日期貨三大法人!D25</f>
        <v>711</v>
      </c>
      <c r="E36" s="69">
        <v>4000</v>
      </c>
      <c r="F36" s="69">
        <f t="shared" si="8"/>
        <v>179.69549929676509</v>
      </c>
      <c r="G36" s="69">
        <f>最新日期貨三大法人!E25</f>
        <v>511054</v>
      </c>
      <c r="H36" s="36">
        <f>最新日期貨三大法人!F25</f>
        <v>654</v>
      </c>
      <c r="I36" s="69">
        <v>4000</v>
      </c>
      <c r="J36" s="69">
        <f t="shared" si="9"/>
        <v>203.02599388379204</v>
      </c>
      <c r="K36" s="69">
        <f>最新日期貨三大法人!G25</f>
        <v>531116</v>
      </c>
      <c r="L36" s="36">
        <f>最新日期貨三大法人!H25</f>
        <v>57</v>
      </c>
      <c r="M36" s="40">
        <f>最新日期貨三大法人!I25</f>
        <v>-20061</v>
      </c>
      <c r="N36" s="36">
        <f t="shared" si="10"/>
        <v>179.69549929676509</v>
      </c>
      <c r="O36" s="40" t="str">
        <f t="shared" si="11"/>
        <v>做多期貨180</v>
      </c>
      <c r="P36" s="70">
        <f>最新日期貨三大法人!J25</f>
        <v>2378</v>
      </c>
      <c r="Q36" s="70">
        <v>4000</v>
      </c>
      <c r="R36" s="70">
        <f t="shared" si="12"/>
        <v>220.21436080740119</v>
      </c>
      <c r="S36" s="44">
        <f>最新日期貨三大法人!K25</f>
        <v>2094679</v>
      </c>
      <c r="T36" s="70">
        <f>最新日期貨三大法人!L25</f>
        <v>3134</v>
      </c>
      <c r="U36" s="70">
        <v>4000</v>
      </c>
      <c r="V36" s="70">
        <f t="shared" si="13"/>
        <v>119.125</v>
      </c>
      <c r="W36" s="44">
        <f>最新日期貨三大法人!M25</f>
        <v>1493351</v>
      </c>
      <c r="X36" s="71">
        <f>最新日期貨三大法人!N25</f>
        <v>-756</v>
      </c>
      <c r="Y36" s="44">
        <f>最新日期貨三大法人!O25</f>
        <v>601328</v>
      </c>
      <c r="Z36" s="71">
        <f t="shared" si="14"/>
        <v>119.125</v>
      </c>
      <c r="AA36" s="44" t="str">
        <f t="shared" si="15"/>
        <v>做空期貨119</v>
      </c>
    </row>
    <row r="37" spans="2:27" x14ac:dyDescent="0.4">
      <c r="B37" s="111"/>
      <c r="C37" s="63" t="s">
        <v>187</v>
      </c>
      <c r="D37" s="45">
        <f>最新日期貨三大法人!B26</f>
        <v>2374</v>
      </c>
      <c r="E37" s="72">
        <v>4000</v>
      </c>
      <c r="F37" s="72">
        <f t="shared" si="8"/>
        <v>340.68197135636058</v>
      </c>
      <c r="G37" s="72">
        <f>最新日期貨三大法人!C26</f>
        <v>3235116</v>
      </c>
      <c r="H37" s="45">
        <f>最新日期貨三大法人!D26</f>
        <v>2374</v>
      </c>
      <c r="I37" s="72">
        <v>4000</v>
      </c>
      <c r="J37" s="72">
        <f t="shared" si="9"/>
        <v>340.67639005897217</v>
      </c>
      <c r="K37" s="72">
        <f>最新日期貨三大法人!E26</f>
        <v>3235063</v>
      </c>
      <c r="L37" s="45">
        <f>最新日期貨三大法人!F26</f>
        <v>0</v>
      </c>
      <c r="M37" s="49">
        <f>最新日期貨三大法人!G26</f>
        <v>53</v>
      </c>
      <c r="N37" s="45" t="str">
        <f t="shared" si="10"/>
        <v/>
      </c>
      <c r="O37" s="49" t="str">
        <f t="shared" si="11"/>
        <v/>
      </c>
      <c r="P37" s="73">
        <f>最新日期貨三大法人!H26</f>
        <v>4972</v>
      </c>
      <c r="Q37" s="73">
        <v>4000</v>
      </c>
      <c r="R37" s="73">
        <f t="shared" si="12"/>
        <v>249.92085679806917</v>
      </c>
      <c r="S37" s="52">
        <f>最新日期貨三大法人!I26</f>
        <v>4970426</v>
      </c>
      <c r="T37" s="73">
        <f>最新日期貨三大法人!J26</f>
        <v>3792</v>
      </c>
      <c r="U37" s="73">
        <v>4000</v>
      </c>
      <c r="V37" s="73">
        <f t="shared" si="13"/>
        <v>326.18354430379748</v>
      </c>
      <c r="W37" s="52">
        <f>最新日期貨三大法人!K26</f>
        <v>4947552</v>
      </c>
      <c r="X37" s="74">
        <f>最新日期貨三大法人!L26</f>
        <v>1180</v>
      </c>
      <c r="Y37" s="52">
        <f>最新日期貨三大法人!M26</f>
        <v>22874</v>
      </c>
      <c r="Z37" s="74">
        <f t="shared" si="14"/>
        <v>249.92085679806917</v>
      </c>
      <c r="AA37" s="52" t="str">
        <f t="shared" si="15"/>
        <v>做多期貨250</v>
      </c>
    </row>
    <row r="38" spans="2:27" ht="17.5" thickBot="1" x14ac:dyDescent="0.45">
      <c r="B38" s="112"/>
      <c r="C38" s="80" t="s">
        <v>188</v>
      </c>
      <c r="D38" s="53">
        <f>最新日期貨三大法人!B27</f>
        <v>2809</v>
      </c>
      <c r="E38" s="75">
        <v>4000</v>
      </c>
      <c r="F38" s="75">
        <f t="shared" si="8"/>
        <v>325.81612673549307</v>
      </c>
      <c r="G38" s="75">
        <f>最新日期貨三大法人!C27</f>
        <v>3660870</v>
      </c>
      <c r="H38" s="53">
        <f>最新日期貨三大法人!D27</f>
        <v>2954</v>
      </c>
      <c r="I38" s="75">
        <v>4000</v>
      </c>
      <c r="J38" s="75">
        <f t="shared" si="9"/>
        <v>314.98205822613403</v>
      </c>
      <c r="K38" s="75">
        <f>最新日期貨三大法人!E27</f>
        <v>3721828</v>
      </c>
      <c r="L38" s="53">
        <f>最新日期貨三大法人!F27</f>
        <v>-145</v>
      </c>
      <c r="M38" s="57">
        <f>最新日期貨三大法人!G27</f>
        <v>-60956</v>
      </c>
      <c r="N38" s="53">
        <f t="shared" si="10"/>
        <v>314.98205822613403</v>
      </c>
      <c r="O38" s="57" t="str">
        <f t="shared" si="11"/>
        <v>做空期貨315</v>
      </c>
      <c r="P38" s="76">
        <f>最新日期貨三大法人!H27</f>
        <v>3256</v>
      </c>
      <c r="Q38" s="76">
        <v>4000</v>
      </c>
      <c r="R38" s="76">
        <f t="shared" si="12"/>
        <v>333.08929668304665</v>
      </c>
      <c r="S38" s="61">
        <f>最新日期貨三大法人!I27</f>
        <v>4338155</v>
      </c>
      <c r="T38" s="76">
        <f>最新日期貨三大法人!J27</f>
        <v>4852</v>
      </c>
      <c r="U38" s="76">
        <v>4000</v>
      </c>
      <c r="V38" s="76">
        <f t="shared" si="13"/>
        <v>302.57476298433636</v>
      </c>
      <c r="W38" s="61">
        <f>最新日期貨三大法人!K27</f>
        <v>5872371</v>
      </c>
      <c r="X38" s="77">
        <f>最新日期貨三大法人!L27</f>
        <v>-1596</v>
      </c>
      <c r="Y38" s="61">
        <f>最新日期貨三大法人!M27</f>
        <v>-1534216</v>
      </c>
      <c r="Z38" s="77">
        <f t="shared" si="14"/>
        <v>302.57476298433636</v>
      </c>
      <c r="AA38" s="61" t="str">
        <f t="shared" si="15"/>
        <v>做空期貨303</v>
      </c>
    </row>
    <row r="39" spans="2:27" ht="16.5" customHeight="1" x14ac:dyDescent="0.4">
      <c r="B39" s="110" t="s">
        <v>200</v>
      </c>
      <c r="C39" s="79" t="s">
        <v>186</v>
      </c>
      <c r="D39" s="36">
        <f>最新日期貨三大法人!D28</f>
        <v>29</v>
      </c>
      <c r="E39" s="69">
        <v>100</v>
      </c>
      <c r="F39" s="69">
        <f t="shared" si="8"/>
        <v>8066.2068965517237</v>
      </c>
      <c r="G39" s="69">
        <f>最新日期貨三大法人!E28</f>
        <v>23392</v>
      </c>
      <c r="H39" s="36">
        <f>最新日期貨三大法人!F28</f>
        <v>24</v>
      </c>
      <c r="I39" s="69">
        <v>100</v>
      </c>
      <c r="J39" s="69">
        <f t="shared" si="9"/>
        <v>8063.3333333333339</v>
      </c>
      <c r="K39" s="69">
        <f>最新日期貨三大法人!G28</f>
        <v>19352</v>
      </c>
      <c r="L39" s="36">
        <f>最新日期貨三大法人!H28</f>
        <v>5</v>
      </c>
      <c r="M39" s="40">
        <f>最新日期貨三大法人!I28</f>
        <v>4040</v>
      </c>
      <c r="N39" s="36">
        <f t="shared" si="10"/>
        <v>8066.2068965517237</v>
      </c>
      <c r="O39" s="40" t="str">
        <f t="shared" si="11"/>
        <v>做多期貨8066</v>
      </c>
      <c r="P39" s="70">
        <f>最新日期貨三大法人!J28</f>
        <v>12</v>
      </c>
      <c r="Q39" s="70">
        <v>100</v>
      </c>
      <c r="R39" s="70">
        <f t="shared" si="12"/>
        <v>8084.1666666666661</v>
      </c>
      <c r="S39" s="44">
        <f>最新日期貨三大法人!K28</f>
        <v>9701</v>
      </c>
      <c r="T39" s="70">
        <f>最新日期貨三大法人!L28</f>
        <v>82</v>
      </c>
      <c r="U39" s="70">
        <v>100</v>
      </c>
      <c r="V39" s="70">
        <f t="shared" si="13"/>
        <v>8094.3902439024396</v>
      </c>
      <c r="W39" s="44">
        <f>最新日期貨三大法人!M28</f>
        <v>66374</v>
      </c>
      <c r="X39" s="71">
        <f>最新日期貨三大法人!N28</f>
        <v>-70</v>
      </c>
      <c r="Y39" s="44">
        <f>最新日期貨三大法人!O28</f>
        <v>-56673</v>
      </c>
      <c r="Z39" s="71">
        <f t="shared" si="14"/>
        <v>8094.3902439024396</v>
      </c>
      <c r="AA39" s="44" t="str">
        <f t="shared" si="15"/>
        <v>做空期貨8094</v>
      </c>
    </row>
    <row r="40" spans="2:27" x14ac:dyDescent="0.4">
      <c r="B40" s="111"/>
      <c r="C40" s="63" t="s">
        <v>187</v>
      </c>
      <c r="D40" s="45">
        <f>最新日期貨三大法人!B29</f>
        <v>0</v>
      </c>
      <c r="E40" s="72">
        <v>100</v>
      </c>
      <c r="F40" s="72" t="str">
        <f t="shared" si="8"/>
        <v/>
      </c>
      <c r="G40" s="72">
        <f>最新日期貨三大法人!C29</f>
        <v>0</v>
      </c>
      <c r="H40" s="45">
        <f>最新日期貨三大法人!D29</f>
        <v>0</v>
      </c>
      <c r="I40" s="72">
        <v>100</v>
      </c>
      <c r="J40" s="72" t="str">
        <f t="shared" si="9"/>
        <v/>
      </c>
      <c r="K40" s="72">
        <f>最新日期貨三大法人!E29</f>
        <v>0</v>
      </c>
      <c r="L40" s="45">
        <f>最新日期貨三大法人!F29</f>
        <v>0</v>
      </c>
      <c r="M40" s="49">
        <f>最新日期貨三大法人!G29</f>
        <v>0</v>
      </c>
      <c r="N40" s="45" t="str">
        <f t="shared" si="10"/>
        <v/>
      </c>
      <c r="O40" s="49" t="str">
        <f t="shared" si="11"/>
        <v/>
      </c>
      <c r="P40" s="73">
        <f>最新日期貨三大法人!H29</f>
        <v>0</v>
      </c>
      <c r="Q40" s="73">
        <v>100</v>
      </c>
      <c r="R40" s="73" t="str">
        <f t="shared" si="12"/>
        <v/>
      </c>
      <c r="S40" s="52">
        <f>最新日期貨三大法人!I29</f>
        <v>0</v>
      </c>
      <c r="T40" s="73">
        <f>最新日期貨三大法人!J29</f>
        <v>0</v>
      </c>
      <c r="U40" s="73">
        <v>100</v>
      </c>
      <c r="V40" s="73" t="str">
        <f t="shared" si="13"/>
        <v/>
      </c>
      <c r="W40" s="52">
        <f>最新日期貨三大法人!K29</f>
        <v>0</v>
      </c>
      <c r="X40" s="74">
        <f>最新日期貨三大法人!L29</f>
        <v>0</v>
      </c>
      <c r="Y40" s="52">
        <f>最新日期貨三大法人!M29</f>
        <v>0</v>
      </c>
      <c r="Z40" s="74" t="str">
        <f t="shared" si="14"/>
        <v/>
      </c>
      <c r="AA40" s="52" t="str">
        <f t="shared" si="15"/>
        <v/>
      </c>
    </row>
    <row r="41" spans="2:27" ht="17.5" thickBot="1" x14ac:dyDescent="0.45">
      <c r="B41" s="112"/>
      <c r="C41" s="80" t="s">
        <v>188</v>
      </c>
      <c r="D41" s="53">
        <f>最新日期貨三大法人!B30</f>
        <v>0</v>
      </c>
      <c r="E41" s="75">
        <v>100</v>
      </c>
      <c r="F41" s="75" t="str">
        <f t="shared" si="8"/>
        <v/>
      </c>
      <c r="G41" s="75">
        <f>最新日期貨三大法人!C30</f>
        <v>0</v>
      </c>
      <c r="H41" s="53">
        <f>最新日期貨三大法人!D30</f>
        <v>0</v>
      </c>
      <c r="I41" s="75">
        <v>100</v>
      </c>
      <c r="J41" s="75" t="str">
        <f t="shared" si="9"/>
        <v/>
      </c>
      <c r="K41" s="75">
        <f>最新日期貨三大法人!E30</f>
        <v>0</v>
      </c>
      <c r="L41" s="53">
        <f>最新日期貨三大法人!F30</f>
        <v>0</v>
      </c>
      <c r="M41" s="57">
        <f>最新日期貨三大法人!G30</f>
        <v>0</v>
      </c>
      <c r="N41" s="53" t="str">
        <f t="shared" si="10"/>
        <v/>
      </c>
      <c r="O41" s="57" t="str">
        <f t="shared" si="11"/>
        <v/>
      </c>
      <c r="P41" s="76">
        <f>最新日期貨三大法人!H30</f>
        <v>0</v>
      </c>
      <c r="Q41" s="76">
        <v>100</v>
      </c>
      <c r="R41" s="76" t="str">
        <f t="shared" si="12"/>
        <v/>
      </c>
      <c r="S41" s="61">
        <f>最新日期貨三大法人!I30</f>
        <v>0</v>
      </c>
      <c r="T41" s="76">
        <f>最新日期貨三大法人!J30</f>
        <v>0</v>
      </c>
      <c r="U41" s="76">
        <v>100</v>
      </c>
      <c r="V41" s="76" t="str">
        <f t="shared" si="13"/>
        <v/>
      </c>
      <c r="W41" s="61">
        <f>最新日期貨三大法人!K30</f>
        <v>0</v>
      </c>
      <c r="X41" s="77">
        <f>最新日期貨三大法人!L30</f>
        <v>0</v>
      </c>
      <c r="Y41" s="61">
        <f>最新日期貨三大法人!M30</f>
        <v>0</v>
      </c>
      <c r="Z41" s="77" t="str">
        <f t="shared" si="14"/>
        <v/>
      </c>
      <c r="AA41" s="61" t="str">
        <f t="shared" si="15"/>
        <v/>
      </c>
    </row>
    <row r="42" spans="2:27" ht="16.5" customHeight="1" x14ac:dyDescent="0.4">
      <c r="B42" s="110" t="s">
        <v>201</v>
      </c>
      <c r="C42" s="79" t="s">
        <v>186</v>
      </c>
      <c r="D42" s="36">
        <f>最新日期貨三大法人!D31</f>
        <v>82</v>
      </c>
      <c r="E42" s="69">
        <v>50</v>
      </c>
      <c r="F42" s="69">
        <f t="shared" si="8"/>
        <v>32398.780487804877</v>
      </c>
      <c r="G42" s="69">
        <f>最新日期貨三大法人!E31</f>
        <v>132835</v>
      </c>
      <c r="H42" s="36">
        <f>最新日期貨三大法人!F31</f>
        <v>110</v>
      </c>
      <c r="I42" s="69">
        <v>50</v>
      </c>
      <c r="J42" s="69">
        <f t="shared" si="9"/>
        <v>32394.909090909092</v>
      </c>
      <c r="K42" s="69">
        <f>最新日期貨三大法人!G31</f>
        <v>178172</v>
      </c>
      <c r="L42" s="36">
        <f>最新日期貨三大法人!H31</f>
        <v>-28</v>
      </c>
      <c r="M42" s="40">
        <f>最新日期貨三大法人!I31</f>
        <v>-45337</v>
      </c>
      <c r="N42" s="36">
        <f t="shared" si="10"/>
        <v>32394.909090909092</v>
      </c>
      <c r="O42" s="40" t="str">
        <f t="shared" si="11"/>
        <v>做空期貨32395</v>
      </c>
      <c r="P42" s="70">
        <f>最新日期貨三大法人!J31</f>
        <v>275</v>
      </c>
      <c r="Q42" s="70">
        <v>50</v>
      </c>
      <c r="R42" s="70">
        <f t="shared" si="12"/>
        <v>32519.636363636364</v>
      </c>
      <c r="S42" s="44">
        <f>最新日期貨三大法人!K31</f>
        <v>447145</v>
      </c>
      <c r="T42" s="70">
        <f>最新日期貨三大法人!L31</f>
        <v>70</v>
      </c>
      <c r="U42" s="70">
        <v>50</v>
      </c>
      <c r="V42" s="70">
        <f t="shared" si="13"/>
        <v>32498</v>
      </c>
      <c r="W42" s="44">
        <f>最新日期貨三大法人!M31</f>
        <v>113743</v>
      </c>
      <c r="X42" s="71">
        <f>最新日期貨三大法人!N31</f>
        <v>205</v>
      </c>
      <c r="Y42" s="44">
        <f>最新日期貨三大法人!O31</f>
        <v>333402</v>
      </c>
      <c r="Z42" s="71">
        <f t="shared" si="14"/>
        <v>32519.636363636364</v>
      </c>
      <c r="AA42" s="44" t="str">
        <f t="shared" si="15"/>
        <v>做多期貨32520</v>
      </c>
    </row>
    <row r="43" spans="2:27" x14ac:dyDescent="0.4">
      <c r="B43" s="111"/>
      <c r="C43" s="63" t="s">
        <v>187</v>
      </c>
      <c r="D43" s="45">
        <f>最新日期貨三大法人!B32</f>
        <v>2</v>
      </c>
      <c r="E43" s="72">
        <v>50</v>
      </c>
      <c r="F43" s="72">
        <f t="shared" si="8"/>
        <v>32310</v>
      </c>
      <c r="G43" s="72">
        <f>最新日期貨三大法人!C32</f>
        <v>3231</v>
      </c>
      <c r="H43" s="45">
        <f>最新日期貨三大法人!D32</f>
        <v>2</v>
      </c>
      <c r="I43" s="72">
        <v>50</v>
      </c>
      <c r="J43" s="72">
        <f t="shared" si="9"/>
        <v>32350</v>
      </c>
      <c r="K43" s="72">
        <f>最新日期貨三大法人!E32</f>
        <v>3235</v>
      </c>
      <c r="L43" s="45">
        <f>最新日期貨三大法人!F32</f>
        <v>0</v>
      </c>
      <c r="M43" s="49">
        <f>最新日期貨三大法人!G32</f>
        <v>-4</v>
      </c>
      <c r="N43" s="45" t="str">
        <f t="shared" si="10"/>
        <v/>
      </c>
      <c r="O43" s="49" t="str">
        <f t="shared" si="11"/>
        <v/>
      </c>
      <c r="P43" s="73">
        <f>最新日期貨三大法人!H32</f>
        <v>2</v>
      </c>
      <c r="Q43" s="73">
        <v>50</v>
      </c>
      <c r="R43" s="73">
        <f t="shared" si="12"/>
        <v>32470</v>
      </c>
      <c r="S43" s="52">
        <f>最新日期貨三大法人!I32</f>
        <v>3247</v>
      </c>
      <c r="T43" s="73">
        <f>最新日期貨三大法人!J32</f>
        <v>0</v>
      </c>
      <c r="U43" s="73">
        <v>50</v>
      </c>
      <c r="V43" s="73" t="str">
        <f t="shared" si="13"/>
        <v/>
      </c>
      <c r="W43" s="52">
        <f>最新日期貨三大法人!K32</f>
        <v>0</v>
      </c>
      <c r="X43" s="74">
        <f>最新日期貨三大法人!L32</f>
        <v>2</v>
      </c>
      <c r="Y43" s="52">
        <f>最新日期貨三大法人!M32</f>
        <v>3247</v>
      </c>
      <c r="Z43" s="74">
        <f t="shared" si="14"/>
        <v>32470</v>
      </c>
      <c r="AA43" s="52" t="str">
        <f t="shared" si="15"/>
        <v>做多期貨32470</v>
      </c>
    </row>
    <row r="44" spans="2:27" ht="17.5" thickBot="1" x14ac:dyDescent="0.45">
      <c r="B44" s="112"/>
      <c r="C44" s="80" t="s">
        <v>188</v>
      </c>
      <c r="D44" s="53">
        <f>最新日期貨三大法人!B33</f>
        <v>101</v>
      </c>
      <c r="E44" s="75">
        <v>50</v>
      </c>
      <c r="F44" s="75">
        <f t="shared" si="8"/>
        <v>32402.574257425742</v>
      </c>
      <c r="G44" s="75">
        <f>最新日期貨三大法人!C33</f>
        <v>163633</v>
      </c>
      <c r="H44" s="53">
        <f>最新日期貨三大法人!D33</f>
        <v>70</v>
      </c>
      <c r="I44" s="75">
        <v>50</v>
      </c>
      <c r="J44" s="75">
        <f t="shared" si="9"/>
        <v>32406.857142857141</v>
      </c>
      <c r="K44" s="75">
        <f>最新日期貨三大法人!E33</f>
        <v>113424</v>
      </c>
      <c r="L44" s="53">
        <f>最新日期貨三大法人!F33</f>
        <v>31</v>
      </c>
      <c r="M44" s="57">
        <f>最新日期貨三大法人!G33</f>
        <v>50208</v>
      </c>
      <c r="N44" s="53">
        <f t="shared" si="10"/>
        <v>32402.574257425742</v>
      </c>
      <c r="O44" s="57" t="str">
        <f t="shared" si="11"/>
        <v>做多期貨32403</v>
      </c>
      <c r="P44" s="76">
        <f>最新日期貨三大法人!H33</f>
        <v>15</v>
      </c>
      <c r="Q44" s="76">
        <v>50</v>
      </c>
      <c r="R44" s="76">
        <f t="shared" si="12"/>
        <v>32520</v>
      </c>
      <c r="S44" s="61">
        <f>最新日期貨三大法人!I33</f>
        <v>24390</v>
      </c>
      <c r="T44" s="76">
        <f>最新日期貨三大法人!J33</f>
        <v>246</v>
      </c>
      <c r="U44" s="76">
        <v>50</v>
      </c>
      <c r="V44" s="76">
        <f t="shared" si="13"/>
        <v>32520</v>
      </c>
      <c r="W44" s="61">
        <f>最新日期貨三大法人!K33</f>
        <v>399996</v>
      </c>
      <c r="X44" s="77">
        <f>最新日期貨三大法人!L33</f>
        <v>-231</v>
      </c>
      <c r="Y44" s="61">
        <f>最新日期貨三大法人!M33</f>
        <v>-375606</v>
      </c>
      <c r="Z44" s="77">
        <f t="shared" si="14"/>
        <v>32520</v>
      </c>
      <c r="AA44" s="61" t="str">
        <f t="shared" si="15"/>
        <v>做空期貨32520</v>
      </c>
    </row>
    <row r="45" spans="2:27" ht="16.5" customHeight="1" x14ac:dyDescent="0.4">
      <c r="B45" s="110" t="s">
        <v>202</v>
      </c>
      <c r="C45" s="79" t="s">
        <v>186</v>
      </c>
      <c r="D45" s="36">
        <f>最新日期貨三大法人!D34</f>
        <v>14</v>
      </c>
      <c r="E45" s="69">
        <v>100</v>
      </c>
      <c r="F45" s="69">
        <f t="shared" si="8"/>
        <v>4315</v>
      </c>
      <c r="G45" s="69">
        <f>最新日期貨三大法人!E34</f>
        <v>6041</v>
      </c>
      <c r="H45" s="36">
        <f>最新日期貨三大法人!F34</f>
        <v>16</v>
      </c>
      <c r="I45" s="69">
        <v>100</v>
      </c>
      <c r="J45" s="69">
        <f t="shared" si="9"/>
        <v>4322.5</v>
      </c>
      <c r="K45" s="69">
        <f>最新日期貨三大法人!G34</f>
        <v>6916</v>
      </c>
      <c r="L45" s="36">
        <f>最新日期貨三大法人!H34</f>
        <v>-2</v>
      </c>
      <c r="M45" s="40">
        <f>最新日期貨三大法人!I34</f>
        <v>-875</v>
      </c>
      <c r="N45" s="36">
        <f t="shared" si="10"/>
        <v>4322.5</v>
      </c>
      <c r="O45" s="40" t="str">
        <f t="shared" si="11"/>
        <v>做空期貨4323</v>
      </c>
      <c r="P45" s="70">
        <f>最新日期貨三大法人!J34</f>
        <v>38</v>
      </c>
      <c r="Q45" s="70">
        <v>100</v>
      </c>
      <c r="R45" s="70">
        <f t="shared" si="12"/>
        <v>4314.2105263157891</v>
      </c>
      <c r="S45" s="44">
        <f>最新日期貨三大法人!K34</f>
        <v>16394</v>
      </c>
      <c r="T45" s="70">
        <f>最新日期貨三大法人!L34</f>
        <v>55</v>
      </c>
      <c r="U45" s="70">
        <v>100</v>
      </c>
      <c r="V45" s="70">
        <f t="shared" si="13"/>
        <v>4308.727272727273</v>
      </c>
      <c r="W45" s="44">
        <f>最新日期貨三大法人!M34</f>
        <v>23698</v>
      </c>
      <c r="X45" s="71">
        <f>最新日期貨三大法人!N34</f>
        <v>-17</v>
      </c>
      <c r="Y45" s="44">
        <f>最新日期貨三大法人!O34</f>
        <v>-7304</v>
      </c>
      <c r="Z45" s="71">
        <f t="shared" si="14"/>
        <v>4308.727272727273</v>
      </c>
      <c r="AA45" s="44" t="str">
        <f t="shared" si="15"/>
        <v>做空期貨4309</v>
      </c>
    </row>
    <row r="46" spans="2:27" x14ac:dyDescent="0.4">
      <c r="B46" s="111"/>
      <c r="C46" s="63" t="s">
        <v>187</v>
      </c>
      <c r="D46" s="45">
        <f>最新日期貨三大法人!B35</f>
        <v>0</v>
      </c>
      <c r="E46" s="72">
        <v>100</v>
      </c>
      <c r="F46" s="72" t="str">
        <f t="shared" si="8"/>
        <v/>
      </c>
      <c r="G46" s="72">
        <f>最新日期貨三大法人!C35</f>
        <v>0</v>
      </c>
      <c r="H46" s="45">
        <f>最新日期貨三大法人!D35</f>
        <v>0</v>
      </c>
      <c r="I46" s="72">
        <v>100</v>
      </c>
      <c r="J46" s="72" t="str">
        <f t="shared" si="9"/>
        <v/>
      </c>
      <c r="K46" s="72">
        <f>最新日期貨三大法人!E35</f>
        <v>0</v>
      </c>
      <c r="L46" s="45">
        <f>最新日期貨三大法人!F35</f>
        <v>0</v>
      </c>
      <c r="M46" s="49">
        <f>最新日期貨三大法人!G35</f>
        <v>0</v>
      </c>
      <c r="N46" s="45" t="str">
        <f t="shared" si="10"/>
        <v/>
      </c>
      <c r="O46" s="49" t="str">
        <f t="shared" si="11"/>
        <v/>
      </c>
      <c r="P46" s="73">
        <f>最新日期貨三大法人!H35</f>
        <v>30</v>
      </c>
      <c r="Q46" s="73">
        <v>100</v>
      </c>
      <c r="R46" s="73">
        <f t="shared" si="12"/>
        <v>4308.666666666667</v>
      </c>
      <c r="S46" s="52">
        <f>最新日期貨三大法人!I35</f>
        <v>12926</v>
      </c>
      <c r="T46" s="73">
        <f>最新日期貨三大法人!J35</f>
        <v>0</v>
      </c>
      <c r="U46" s="73">
        <v>100</v>
      </c>
      <c r="V46" s="73" t="str">
        <f t="shared" si="13"/>
        <v/>
      </c>
      <c r="W46" s="52">
        <f>最新日期貨三大法人!K35</f>
        <v>0</v>
      </c>
      <c r="X46" s="74">
        <f>最新日期貨三大法人!L35</f>
        <v>30</v>
      </c>
      <c r="Y46" s="52">
        <f>最新日期貨三大法人!M35</f>
        <v>12926</v>
      </c>
      <c r="Z46" s="74">
        <f t="shared" si="14"/>
        <v>4308.666666666667</v>
      </c>
      <c r="AA46" s="52" t="str">
        <f t="shared" si="15"/>
        <v>做多期貨4309</v>
      </c>
    </row>
    <row r="47" spans="2:27" ht="17.5" thickBot="1" x14ac:dyDescent="0.45">
      <c r="B47" s="112"/>
      <c r="C47" s="80" t="s">
        <v>188</v>
      </c>
      <c r="D47" s="53">
        <f>最新日期貨三大法人!B36</f>
        <v>0</v>
      </c>
      <c r="E47" s="75">
        <v>100</v>
      </c>
      <c r="F47" s="75" t="str">
        <f t="shared" si="8"/>
        <v/>
      </c>
      <c r="G47" s="75">
        <f>最新日期貨三大法人!C36</f>
        <v>0</v>
      </c>
      <c r="H47" s="53">
        <f>最新日期貨三大法人!D36</f>
        <v>0</v>
      </c>
      <c r="I47" s="75">
        <v>100</v>
      </c>
      <c r="J47" s="75" t="str">
        <f t="shared" si="9"/>
        <v/>
      </c>
      <c r="K47" s="75">
        <f>最新日期貨三大法人!E36</f>
        <v>0</v>
      </c>
      <c r="L47" s="53">
        <f>最新日期貨三大法人!F36</f>
        <v>0</v>
      </c>
      <c r="M47" s="57">
        <f>最新日期貨三大法人!G36</f>
        <v>0</v>
      </c>
      <c r="N47" s="53" t="str">
        <f t="shared" si="10"/>
        <v/>
      </c>
      <c r="O47" s="57" t="str">
        <f t="shared" si="11"/>
        <v/>
      </c>
      <c r="P47" s="76">
        <f>最新日期貨三大法人!H36</f>
        <v>0</v>
      </c>
      <c r="Q47" s="76">
        <v>100</v>
      </c>
      <c r="R47" s="76" t="str">
        <f t="shared" si="12"/>
        <v/>
      </c>
      <c r="S47" s="61">
        <f>最新日期貨三大法人!I36</f>
        <v>0</v>
      </c>
      <c r="T47" s="76">
        <f>最新日期貨三大法人!J36</f>
        <v>30</v>
      </c>
      <c r="U47" s="76">
        <v>100</v>
      </c>
      <c r="V47" s="76">
        <f t="shared" si="13"/>
        <v>4317</v>
      </c>
      <c r="W47" s="61">
        <f>最新日期貨三大法人!K36</f>
        <v>12951</v>
      </c>
      <c r="X47" s="77">
        <f>最新日期貨三大法人!L36</f>
        <v>-30</v>
      </c>
      <c r="Y47" s="61">
        <f>最新日期貨三大法人!M36</f>
        <v>-12951</v>
      </c>
      <c r="Z47" s="77">
        <f t="shared" si="14"/>
        <v>4317</v>
      </c>
      <c r="AA47" s="61" t="str">
        <f t="shared" si="15"/>
        <v>做空期貨4317</v>
      </c>
    </row>
    <row r="48" spans="2:27" ht="16.5" customHeight="1" x14ac:dyDescent="0.4">
      <c r="B48" s="110" t="s">
        <v>203</v>
      </c>
      <c r="C48" s="79" t="s">
        <v>186</v>
      </c>
      <c r="D48" s="36">
        <f>最新日期貨三大法人!D37</f>
        <v>9</v>
      </c>
      <c r="E48" s="69">
        <v>50</v>
      </c>
      <c r="F48" s="69">
        <f t="shared" si="8"/>
        <v>17006.666666666668</v>
      </c>
      <c r="G48" s="69">
        <f>最新日期貨三大法人!E37</f>
        <v>7653</v>
      </c>
      <c r="H48" s="36">
        <f>最新日期貨三大法人!F37</f>
        <v>9</v>
      </c>
      <c r="I48" s="69">
        <v>50</v>
      </c>
      <c r="J48" s="69">
        <f t="shared" si="9"/>
        <v>17006.666666666668</v>
      </c>
      <c r="K48" s="69">
        <f>最新日期貨三大法人!G37</f>
        <v>7653</v>
      </c>
      <c r="L48" s="36">
        <f>最新日期貨三大法人!H37</f>
        <v>0</v>
      </c>
      <c r="M48" s="40">
        <f>最新日期貨三大法人!I37</f>
        <v>0</v>
      </c>
      <c r="N48" s="36" t="str">
        <f t="shared" si="10"/>
        <v/>
      </c>
      <c r="O48" s="40" t="str">
        <f t="shared" si="11"/>
        <v/>
      </c>
      <c r="P48" s="70">
        <f>最新日期貨三大法人!J37</f>
        <v>0</v>
      </c>
      <c r="Q48" s="70">
        <v>50</v>
      </c>
      <c r="R48" s="70" t="str">
        <f t="shared" si="12"/>
        <v/>
      </c>
      <c r="S48" s="44">
        <f>最新日期貨三大法人!K37</f>
        <v>0</v>
      </c>
      <c r="T48" s="70">
        <f>最新日期貨三大法人!L37</f>
        <v>43</v>
      </c>
      <c r="U48" s="70">
        <v>50</v>
      </c>
      <c r="V48" s="70">
        <f t="shared" si="13"/>
        <v>16926.046511627905</v>
      </c>
      <c r="W48" s="44">
        <f>最新日期貨三大法人!M37</f>
        <v>36391</v>
      </c>
      <c r="X48" s="71">
        <f>最新日期貨三大法人!N37</f>
        <v>-43</v>
      </c>
      <c r="Y48" s="44">
        <f>最新日期貨三大法人!O37</f>
        <v>-36391</v>
      </c>
      <c r="Z48" s="71">
        <f t="shared" si="14"/>
        <v>16926.046511627905</v>
      </c>
      <c r="AA48" s="44" t="str">
        <f t="shared" si="15"/>
        <v>做空期貨16926</v>
      </c>
    </row>
    <row r="49" spans="1:27" x14ac:dyDescent="0.4">
      <c r="B49" s="111"/>
      <c r="C49" s="63" t="s">
        <v>187</v>
      </c>
      <c r="D49" s="45">
        <f>最新日期貨三大法人!B38</f>
        <v>9</v>
      </c>
      <c r="E49" s="72">
        <v>50</v>
      </c>
      <c r="F49" s="72">
        <f t="shared" si="8"/>
        <v>17006.666666666668</v>
      </c>
      <c r="G49" s="72">
        <f>最新日期貨三大法人!C38</f>
        <v>7653</v>
      </c>
      <c r="H49" s="45">
        <f>最新日期貨三大法人!D38</f>
        <v>9</v>
      </c>
      <c r="I49" s="72">
        <v>50</v>
      </c>
      <c r="J49" s="72">
        <f t="shared" si="9"/>
        <v>17006.666666666668</v>
      </c>
      <c r="K49" s="72">
        <f>最新日期貨三大法人!E38</f>
        <v>7653</v>
      </c>
      <c r="L49" s="45">
        <f>最新日期貨三大法人!F38</f>
        <v>0</v>
      </c>
      <c r="M49" s="49">
        <f>最新日期貨三大法人!G38</f>
        <v>0</v>
      </c>
      <c r="N49" s="45" t="str">
        <f t="shared" si="10"/>
        <v/>
      </c>
      <c r="O49" s="49" t="str">
        <f t="shared" si="11"/>
        <v/>
      </c>
      <c r="P49" s="73">
        <f>最新日期貨三大法人!H38</f>
        <v>35</v>
      </c>
      <c r="Q49" s="73">
        <v>50</v>
      </c>
      <c r="R49" s="73">
        <f t="shared" si="12"/>
        <v>16926.285714285714</v>
      </c>
      <c r="S49" s="52">
        <f>最新日期貨三大法人!I38</f>
        <v>29621</v>
      </c>
      <c r="T49" s="73">
        <f>最新日期貨三大法人!J38</f>
        <v>0</v>
      </c>
      <c r="U49" s="73">
        <v>50</v>
      </c>
      <c r="V49" s="73" t="str">
        <f t="shared" si="13"/>
        <v/>
      </c>
      <c r="W49" s="52">
        <f>最新日期貨三大法人!K38</f>
        <v>0</v>
      </c>
      <c r="X49" s="74">
        <f>最新日期貨三大法人!L38</f>
        <v>35</v>
      </c>
      <c r="Y49" s="52">
        <f>最新日期貨三大法人!M38</f>
        <v>29621</v>
      </c>
      <c r="Z49" s="74">
        <f t="shared" si="14"/>
        <v>16926.285714285714</v>
      </c>
      <c r="AA49" s="52" t="str">
        <f t="shared" si="15"/>
        <v>做多期貨16926</v>
      </c>
    </row>
    <row r="50" spans="1:27" ht="17.5" thickBot="1" x14ac:dyDescent="0.45">
      <c r="B50" s="112"/>
      <c r="C50" s="80" t="s">
        <v>188</v>
      </c>
      <c r="D50" s="53">
        <f>最新日期貨三大法人!B39</f>
        <v>0</v>
      </c>
      <c r="E50" s="75">
        <v>50</v>
      </c>
      <c r="F50" s="75" t="str">
        <f t="shared" si="8"/>
        <v/>
      </c>
      <c r="G50" s="75">
        <f>最新日期貨三大法人!C39</f>
        <v>0</v>
      </c>
      <c r="H50" s="53">
        <f>最新日期貨三大法人!D39</f>
        <v>0</v>
      </c>
      <c r="I50" s="75">
        <v>50</v>
      </c>
      <c r="J50" s="75" t="str">
        <f t="shared" si="9"/>
        <v/>
      </c>
      <c r="K50" s="75">
        <f>最新日期貨三大法人!E39</f>
        <v>0</v>
      </c>
      <c r="L50" s="53">
        <f>最新日期貨三大法人!F39</f>
        <v>0</v>
      </c>
      <c r="M50" s="57">
        <f>最新日期貨三大法人!G39</f>
        <v>0</v>
      </c>
      <c r="N50" s="53" t="str">
        <f t="shared" si="10"/>
        <v/>
      </c>
      <c r="O50" s="57" t="str">
        <f t="shared" si="11"/>
        <v/>
      </c>
      <c r="P50" s="76">
        <f>最新日期貨三大法人!H39</f>
        <v>7</v>
      </c>
      <c r="Q50" s="76">
        <v>50</v>
      </c>
      <c r="R50" s="76">
        <f t="shared" si="12"/>
        <v>16925.714285714286</v>
      </c>
      <c r="S50" s="61">
        <f>最新日期貨三大法人!I39</f>
        <v>5924</v>
      </c>
      <c r="T50" s="76">
        <f>最新日期貨三大法人!J39</f>
        <v>0</v>
      </c>
      <c r="U50" s="76">
        <v>50</v>
      </c>
      <c r="V50" s="76" t="str">
        <f t="shared" si="13"/>
        <v/>
      </c>
      <c r="W50" s="61">
        <f>最新日期貨三大法人!K39</f>
        <v>0</v>
      </c>
      <c r="X50" s="77">
        <f>最新日期貨三大法人!L39</f>
        <v>7</v>
      </c>
      <c r="Y50" s="61">
        <f>最新日期貨三大法人!M39</f>
        <v>5924</v>
      </c>
      <c r="Z50" s="77">
        <f t="shared" si="14"/>
        <v>16925.714285714286</v>
      </c>
      <c r="AA50" s="61" t="str">
        <f t="shared" si="15"/>
        <v>做多期貨16926</v>
      </c>
    </row>
    <row r="51" spans="1:27" ht="16.5" customHeight="1" x14ac:dyDescent="0.4">
      <c r="B51" s="110" t="s">
        <v>204</v>
      </c>
      <c r="C51" s="79" t="s">
        <v>186</v>
      </c>
      <c r="D51" s="36">
        <f>最新日期貨三大法人!D40</f>
        <v>7</v>
      </c>
      <c r="E51" s="69">
        <v>200</v>
      </c>
      <c r="F51" s="69">
        <f t="shared" si="8"/>
        <v>1050</v>
      </c>
      <c r="G51" s="69">
        <f>最新日期貨三大法人!E40</f>
        <v>1470</v>
      </c>
      <c r="H51" s="36">
        <f>最新日期貨三大法人!F40</f>
        <v>1</v>
      </c>
      <c r="I51" s="69">
        <v>200</v>
      </c>
      <c r="J51" s="69">
        <f t="shared" si="9"/>
        <v>1050</v>
      </c>
      <c r="K51" s="69">
        <f>最新日期貨三大法人!G40</f>
        <v>210</v>
      </c>
      <c r="L51" s="36">
        <f>最新日期貨三大法人!H40</f>
        <v>6</v>
      </c>
      <c r="M51" s="40">
        <f>最新日期貨三大法人!I40</f>
        <v>1260</v>
      </c>
      <c r="N51" s="36">
        <f t="shared" si="10"/>
        <v>1050</v>
      </c>
      <c r="O51" s="40" t="str">
        <f t="shared" si="11"/>
        <v>做多期貨1050</v>
      </c>
      <c r="P51" s="70">
        <f>最新日期貨三大法人!J40</f>
        <v>1</v>
      </c>
      <c r="Q51" s="70">
        <v>200</v>
      </c>
      <c r="R51" s="70">
        <f t="shared" si="12"/>
        <v>1060</v>
      </c>
      <c r="S51" s="44">
        <f>最新日期貨三大法人!K40</f>
        <v>212</v>
      </c>
      <c r="T51" s="70">
        <f>最新日期貨三大法人!L40</f>
        <v>9</v>
      </c>
      <c r="U51" s="70">
        <v>200</v>
      </c>
      <c r="V51" s="70">
        <f t="shared" si="13"/>
        <v>1051.1111111111111</v>
      </c>
      <c r="W51" s="44">
        <f>最新日期貨三大法人!M40</f>
        <v>1892</v>
      </c>
      <c r="X51" s="71">
        <f>最新日期貨三大法人!N40</f>
        <v>-8</v>
      </c>
      <c r="Y51" s="44">
        <f>最新日期貨三大法人!O40</f>
        <v>-1680</v>
      </c>
      <c r="Z51" s="71">
        <f t="shared" si="14"/>
        <v>1051.1111111111111</v>
      </c>
      <c r="AA51" s="44" t="str">
        <f t="shared" si="15"/>
        <v>做空期貨1051</v>
      </c>
    </row>
    <row r="52" spans="1:27" x14ac:dyDescent="0.4">
      <c r="B52" s="111"/>
      <c r="C52" s="63" t="s">
        <v>187</v>
      </c>
      <c r="D52" s="45">
        <f>最新日期貨三大法人!B41</f>
        <v>0</v>
      </c>
      <c r="E52" s="72">
        <v>200</v>
      </c>
      <c r="F52" s="72" t="str">
        <f t="shared" si="8"/>
        <v/>
      </c>
      <c r="G52" s="72">
        <f>最新日期貨三大法人!C41</f>
        <v>0</v>
      </c>
      <c r="H52" s="45">
        <f>最新日期貨三大法人!D41</f>
        <v>0</v>
      </c>
      <c r="I52" s="72">
        <v>200</v>
      </c>
      <c r="J52" s="72" t="str">
        <f t="shared" si="9"/>
        <v/>
      </c>
      <c r="K52" s="72">
        <f>最新日期貨三大法人!E41</f>
        <v>0</v>
      </c>
      <c r="L52" s="45">
        <f>最新日期貨三大法人!F41</f>
        <v>0</v>
      </c>
      <c r="M52" s="49">
        <f>最新日期貨三大法人!G41</f>
        <v>0</v>
      </c>
      <c r="N52" s="45" t="str">
        <f t="shared" si="10"/>
        <v/>
      </c>
      <c r="O52" s="49" t="str">
        <f t="shared" si="11"/>
        <v/>
      </c>
      <c r="P52" s="73">
        <f>最新日期貨三大法人!H41</f>
        <v>0</v>
      </c>
      <c r="Q52" s="73">
        <v>200</v>
      </c>
      <c r="R52" s="73" t="str">
        <f t="shared" si="12"/>
        <v/>
      </c>
      <c r="S52" s="52">
        <f>最新日期貨三大法人!I41</f>
        <v>0</v>
      </c>
      <c r="T52" s="73">
        <f>最新日期貨三大法人!J41</f>
        <v>0</v>
      </c>
      <c r="U52" s="73">
        <v>200</v>
      </c>
      <c r="V52" s="73" t="str">
        <f t="shared" si="13"/>
        <v/>
      </c>
      <c r="W52" s="52">
        <f>最新日期貨三大法人!K41</f>
        <v>0</v>
      </c>
      <c r="X52" s="74">
        <f>最新日期貨三大法人!L41</f>
        <v>0</v>
      </c>
      <c r="Y52" s="52">
        <f>最新日期貨三大法人!M41</f>
        <v>0</v>
      </c>
      <c r="Z52" s="74" t="str">
        <f t="shared" si="14"/>
        <v/>
      </c>
      <c r="AA52" s="52" t="str">
        <f t="shared" si="15"/>
        <v/>
      </c>
    </row>
    <row r="53" spans="1:27" ht="17.5" thickBot="1" x14ac:dyDescent="0.45">
      <c r="B53" s="112"/>
      <c r="C53" s="80" t="s">
        <v>188</v>
      </c>
      <c r="D53" s="53">
        <f>最新日期貨三大法人!B42</f>
        <v>0</v>
      </c>
      <c r="E53" s="75">
        <v>200</v>
      </c>
      <c r="F53" s="75" t="str">
        <f t="shared" si="8"/>
        <v/>
      </c>
      <c r="G53" s="75">
        <f>最新日期貨三大法人!C42</f>
        <v>0</v>
      </c>
      <c r="H53" s="53">
        <f>最新日期貨三大法人!D42</f>
        <v>4</v>
      </c>
      <c r="I53" s="75">
        <v>200</v>
      </c>
      <c r="J53" s="75">
        <f t="shared" si="9"/>
        <v>1047.5</v>
      </c>
      <c r="K53" s="75">
        <f>最新日期貨三大法人!E42</f>
        <v>838</v>
      </c>
      <c r="L53" s="53">
        <f>最新日期貨三大法人!F42</f>
        <v>-4</v>
      </c>
      <c r="M53" s="57">
        <f>最新日期貨三大法人!G42</f>
        <v>-838</v>
      </c>
      <c r="N53" s="53">
        <f t="shared" si="10"/>
        <v>1047.5</v>
      </c>
      <c r="O53" s="57" t="str">
        <f t="shared" si="11"/>
        <v>做空期貨1048</v>
      </c>
      <c r="P53" s="76">
        <f>最新日期貨三大法人!H42</f>
        <v>0</v>
      </c>
      <c r="Q53" s="76">
        <v>200</v>
      </c>
      <c r="R53" s="76" t="str">
        <f t="shared" si="12"/>
        <v/>
      </c>
      <c r="S53" s="61">
        <f>最新日期貨三大法人!I42</f>
        <v>0</v>
      </c>
      <c r="T53" s="76">
        <f>最新日期貨三大法人!J42</f>
        <v>8</v>
      </c>
      <c r="U53" s="76">
        <v>200</v>
      </c>
      <c r="V53" s="76">
        <f t="shared" si="13"/>
        <v>1057.5</v>
      </c>
      <c r="W53" s="61">
        <f>最新日期貨三大法人!K42</f>
        <v>1692</v>
      </c>
      <c r="X53" s="77">
        <f>最新日期貨三大法人!L42</f>
        <v>-8</v>
      </c>
      <c r="Y53" s="61">
        <f>最新日期貨三大法人!M42</f>
        <v>-1692</v>
      </c>
      <c r="Z53" s="77">
        <f t="shared" si="14"/>
        <v>1057.5</v>
      </c>
      <c r="AA53" s="61" t="str">
        <f t="shared" si="15"/>
        <v>做空期貨1058</v>
      </c>
    </row>
    <row r="54" spans="1:27" ht="16.5" customHeight="1" x14ac:dyDescent="0.4">
      <c r="B54" s="110" t="s">
        <v>205</v>
      </c>
      <c r="C54" s="79" t="s">
        <v>186</v>
      </c>
      <c r="D54" s="36">
        <f>最新日期貨三大法人!D43</f>
        <v>110</v>
      </c>
      <c r="E54" s="69">
        <v>50</v>
      </c>
      <c r="F54" s="69">
        <f t="shared" si="8"/>
        <v>8070</v>
      </c>
      <c r="G54" s="69">
        <f>最新日期貨三大法人!E43</f>
        <v>44385</v>
      </c>
      <c r="H54" s="36">
        <f>最新日期貨三大法人!F43</f>
        <v>103</v>
      </c>
      <c r="I54" s="69">
        <v>50</v>
      </c>
      <c r="J54" s="69">
        <f t="shared" si="9"/>
        <v>8067.961165048544</v>
      </c>
      <c r="K54" s="69">
        <f>最新日期貨三大法人!G43</f>
        <v>41550</v>
      </c>
      <c r="L54" s="36">
        <f>最新日期貨三大法人!H43</f>
        <v>7</v>
      </c>
      <c r="M54" s="40">
        <f>最新日期貨三大法人!I43</f>
        <v>2835</v>
      </c>
      <c r="N54" s="36">
        <f t="shared" si="10"/>
        <v>8070</v>
      </c>
      <c r="O54" s="40" t="str">
        <f t="shared" si="11"/>
        <v>做多期貨8070</v>
      </c>
      <c r="P54" s="70">
        <f>最新日期貨三大法人!J43</f>
        <v>15</v>
      </c>
      <c r="Q54" s="70">
        <v>50</v>
      </c>
      <c r="R54" s="70">
        <f t="shared" si="12"/>
        <v>8053.3333333333339</v>
      </c>
      <c r="S54" s="44">
        <f>最新日期貨三大法人!K43</f>
        <v>6040</v>
      </c>
      <c r="T54" s="70">
        <f>最新日期貨三大法人!L43</f>
        <v>306</v>
      </c>
      <c r="U54" s="70">
        <v>50</v>
      </c>
      <c r="V54" s="70">
        <f t="shared" si="13"/>
        <v>8052.0261437908503</v>
      </c>
      <c r="W54" s="44">
        <f>最新日期貨三大法人!M43</f>
        <v>123196</v>
      </c>
      <c r="X54" s="71">
        <f>最新日期貨三大法人!N43</f>
        <v>-291</v>
      </c>
      <c r="Y54" s="44">
        <f>最新日期貨三大法人!O43</f>
        <v>-117156</v>
      </c>
      <c r="Z54" s="71">
        <f t="shared" si="14"/>
        <v>8052.0261437908503</v>
      </c>
      <c r="AA54" s="44" t="str">
        <f t="shared" si="15"/>
        <v>做空期貨8052</v>
      </c>
    </row>
    <row r="55" spans="1:27" x14ac:dyDescent="0.4">
      <c r="B55" s="111"/>
      <c r="C55" s="63" t="s">
        <v>187</v>
      </c>
      <c r="D55" s="45">
        <f>最新日期貨三大法人!B44</f>
        <v>0</v>
      </c>
      <c r="E55" s="72">
        <v>50</v>
      </c>
      <c r="F55" s="72" t="str">
        <f t="shared" si="8"/>
        <v/>
      </c>
      <c r="G55" s="72">
        <f>最新日期貨三大法人!C44</f>
        <v>0</v>
      </c>
      <c r="H55" s="45">
        <f>最新日期貨三大法人!D44</f>
        <v>0</v>
      </c>
      <c r="I55" s="72">
        <v>50</v>
      </c>
      <c r="J55" s="72" t="str">
        <f t="shared" si="9"/>
        <v/>
      </c>
      <c r="K55" s="72">
        <f>最新日期貨三大法人!E44</f>
        <v>0</v>
      </c>
      <c r="L55" s="45">
        <f>最新日期貨三大法人!F44</f>
        <v>0</v>
      </c>
      <c r="M55" s="49">
        <f>最新日期貨三大法人!G44</f>
        <v>0</v>
      </c>
      <c r="N55" s="45" t="str">
        <f t="shared" si="10"/>
        <v/>
      </c>
      <c r="O55" s="49" t="str">
        <f t="shared" si="11"/>
        <v/>
      </c>
      <c r="P55" s="73">
        <f>最新日期貨三大法人!H44</f>
        <v>0</v>
      </c>
      <c r="Q55" s="73">
        <v>50</v>
      </c>
      <c r="R55" s="73" t="str">
        <f t="shared" si="12"/>
        <v/>
      </c>
      <c r="S55" s="52">
        <f>最新日期貨三大法人!I44</f>
        <v>0</v>
      </c>
      <c r="T55" s="73">
        <f>最新日期貨三大法人!J44</f>
        <v>0</v>
      </c>
      <c r="U55" s="73">
        <v>50</v>
      </c>
      <c r="V55" s="73" t="str">
        <f t="shared" si="13"/>
        <v/>
      </c>
      <c r="W55" s="52">
        <f>最新日期貨三大法人!K44</f>
        <v>0</v>
      </c>
      <c r="X55" s="74">
        <f>最新日期貨三大法人!L44</f>
        <v>0</v>
      </c>
      <c r="Y55" s="52">
        <f>最新日期貨三大法人!M44</f>
        <v>0</v>
      </c>
      <c r="Z55" s="74" t="str">
        <f t="shared" si="14"/>
        <v/>
      </c>
      <c r="AA55" s="52" t="str">
        <f t="shared" si="15"/>
        <v/>
      </c>
    </row>
    <row r="56" spans="1:27" ht="17.5" thickBot="1" x14ac:dyDescent="0.45">
      <c r="B56" s="112"/>
      <c r="C56" s="80" t="s">
        <v>188</v>
      </c>
      <c r="D56" s="53">
        <f>最新日期貨三大法人!B45</f>
        <v>47</v>
      </c>
      <c r="E56" s="75">
        <v>50</v>
      </c>
      <c r="F56" s="75">
        <f t="shared" si="8"/>
        <v>8067.2340425531911</v>
      </c>
      <c r="G56" s="75">
        <f>最新日期貨三大法人!C45</f>
        <v>18958</v>
      </c>
      <c r="H56" s="53">
        <f>最新日期貨三大法人!D45</f>
        <v>65</v>
      </c>
      <c r="I56" s="75">
        <v>50</v>
      </c>
      <c r="J56" s="75">
        <f t="shared" si="9"/>
        <v>8068.9230769230771</v>
      </c>
      <c r="K56" s="75">
        <f>最新日期貨三大法人!E45</f>
        <v>26224</v>
      </c>
      <c r="L56" s="53">
        <f>最新日期貨三大法人!F45</f>
        <v>-18</v>
      </c>
      <c r="M56" s="57">
        <f>最新日期貨三大法人!G45</f>
        <v>-7266</v>
      </c>
      <c r="N56" s="53">
        <f t="shared" si="10"/>
        <v>8068.9230769230771</v>
      </c>
      <c r="O56" s="57" t="str">
        <f t="shared" si="11"/>
        <v>做空期貨8069</v>
      </c>
      <c r="P56" s="76">
        <f>最新日期貨三大法人!H45</f>
        <v>186</v>
      </c>
      <c r="Q56" s="76">
        <v>50</v>
      </c>
      <c r="R56" s="76">
        <f t="shared" si="12"/>
        <v>8052.0430107526881</v>
      </c>
      <c r="S56" s="61">
        <f>最新日期貨三大法人!I45</f>
        <v>74884</v>
      </c>
      <c r="T56" s="76">
        <f>最新日期貨三大法人!J45</f>
        <v>13</v>
      </c>
      <c r="U56" s="76">
        <v>50</v>
      </c>
      <c r="V56" s="76">
        <f t="shared" si="13"/>
        <v>8052.3076923076924</v>
      </c>
      <c r="W56" s="61">
        <f>最新日期貨三大法人!K45</f>
        <v>5234</v>
      </c>
      <c r="X56" s="77">
        <f>最新日期貨三大法人!L45</f>
        <v>173</v>
      </c>
      <c r="Y56" s="61">
        <f>最新日期貨三大法人!M45</f>
        <v>69650</v>
      </c>
      <c r="Z56" s="77">
        <f t="shared" si="14"/>
        <v>8052.0430107526881</v>
      </c>
      <c r="AA56" s="61" t="str">
        <f t="shared" si="15"/>
        <v>做多期貨8052</v>
      </c>
    </row>
    <row r="57" spans="1:27" ht="16.5" customHeight="1" x14ac:dyDescent="0.4">
      <c r="B57" s="110" t="s">
        <v>206</v>
      </c>
      <c r="C57" s="79" t="s">
        <v>186</v>
      </c>
      <c r="D57" s="36">
        <f>最新日期貨三大法人!D46</f>
        <v>15</v>
      </c>
      <c r="E57" s="69">
        <v>20</v>
      </c>
      <c r="F57" s="69">
        <f t="shared" si="8"/>
        <v>44536.666666666672</v>
      </c>
      <c r="G57" s="69">
        <f>最新日期貨三大法人!E46</f>
        <v>13361</v>
      </c>
      <c r="H57" s="36">
        <f>最新日期貨三大法人!F46</f>
        <v>0</v>
      </c>
      <c r="I57" s="69">
        <v>20</v>
      </c>
      <c r="J57" s="69" t="str">
        <f t="shared" si="9"/>
        <v/>
      </c>
      <c r="K57" s="69">
        <f>最新日期貨三大法人!G46</f>
        <v>0</v>
      </c>
      <c r="L57" s="36">
        <f>最新日期貨三大法人!H46</f>
        <v>15</v>
      </c>
      <c r="M57" s="40">
        <f>最新日期貨三大法人!I46</f>
        <v>13361</v>
      </c>
      <c r="N57" s="36">
        <f t="shared" si="10"/>
        <v>44536.666666666672</v>
      </c>
      <c r="O57" s="40" t="str">
        <f t="shared" si="11"/>
        <v>做多期貨44537</v>
      </c>
      <c r="P57" s="70">
        <f>最新日期貨三大法人!J46</f>
        <v>14</v>
      </c>
      <c r="Q57" s="70">
        <v>20</v>
      </c>
      <c r="R57" s="70">
        <f t="shared" si="12"/>
        <v>44525</v>
      </c>
      <c r="S57" s="44">
        <f>最新日期貨三大法人!K46</f>
        <v>12467</v>
      </c>
      <c r="T57" s="70">
        <f>最新日期貨三大法人!L46</f>
        <v>168</v>
      </c>
      <c r="U57" s="70">
        <v>20</v>
      </c>
      <c r="V57" s="70">
        <f t="shared" si="13"/>
        <v>44575</v>
      </c>
      <c r="W57" s="44">
        <f>最新日期貨三大法人!M46</f>
        <v>149772</v>
      </c>
      <c r="X57" s="71">
        <f>最新日期貨三大法人!N46</f>
        <v>-154</v>
      </c>
      <c r="Y57" s="44">
        <f>最新日期貨三大法人!O46</f>
        <v>-137305</v>
      </c>
      <c r="Z57" s="71">
        <f t="shared" si="14"/>
        <v>44575</v>
      </c>
      <c r="AA57" s="44" t="str">
        <f t="shared" si="15"/>
        <v>做空期貨44575</v>
      </c>
    </row>
    <row r="58" spans="1:27" x14ac:dyDescent="0.4">
      <c r="B58" s="111"/>
      <c r="C58" s="63" t="s">
        <v>187</v>
      </c>
      <c r="D58" s="45">
        <f>最新日期貨三大法人!B47</f>
        <v>0</v>
      </c>
      <c r="E58" s="72">
        <v>20</v>
      </c>
      <c r="F58" s="72" t="str">
        <f t="shared" si="8"/>
        <v/>
      </c>
      <c r="G58" s="72">
        <f>最新日期貨三大法人!C47</f>
        <v>0</v>
      </c>
      <c r="H58" s="45">
        <f>最新日期貨三大法人!D47</f>
        <v>0</v>
      </c>
      <c r="I58" s="72">
        <v>20</v>
      </c>
      <c r="J58" s="72" t="str">
        <f t="shared" si="9"/>
        <v/>
      </c>
      <c r="K58" s="72">
        <f>最新日期貨三大法人!E47</f>
        <v>0</v>
      </c>
      <c r="L58" s="45">
        <f>最新日期貨三大法人!F47</f>
        <v>0</v>
      </c>
      <c r="M58" s="49">
        <f>最新日期貨三大法人!G47</f>
        <v>0</v>
      </c>
      <c r="N58" s="45" t="str">
        <f t="shared" si="10"/>
        <v/>
      </c>
      <c r="O58" s="49" t="str">
        <f t="shared" si="11"/>
        <v/>
      </c>
      <c r="P58" s="73">
        <f>最新日期貨三大法人!H47</f>
        <v>0</v>
      </c>
      <c r="Q58" s="73">
        <v>20</v>
      </c>
      <c r="R58" s="73" t="str">
        <f t="shared" si="12"/>
        <v/>
      </c>
      <c r="S58" s="52">
        <f>最新日期貨三大法人!I47</f>
        <v>0</v>
      </c>
      <c r="T58" s="73">
        <f>最新日期貨三大法人!J47</f>
        <v>0</v>
      </c>
      <c r="U58" s="73">
        <v>20</v>
      </c>
      <c r="V58" s="73" t="str">
        <f t="shared" si="13"/>
        <v/>
      </c>
      <c r="W58" s="52">
        <f>最新日期貨三大法人!K47</f>
        <v>0</v>
      </c>
      <c r="X58" s="74">
        <f>最新日期貨三大法人!L47</f>
        <v>0</v>
      </c>
      <c r="Y58" s="52">
        <f>最新日期貨三大法人!M47</f>
        <v>0</v>
      </c>
      <c r="Z58" s="74" t="str">
        <f t="shared" si="14"/>
        <v/>
      </c>
      <c r="AA58" s="52" t="str">
        <f t="shared" si="15"/>
        <v/>
      </c>
    </row>
    <row r="59" spans="1:27" ht="17.5" thickBot="1" x14ac:dyDescent="0.45">
      <c r="B59" s="112"/>
      <c r="C59" s="80" t="s">
        <v>188</v>
      </c>
      <c r="D59" s="53">
        <f>最新日期貨三大法人!B48</f>
        <v>16</v>
      </c>
      <c r="E59" s="75">
        <v>20</v>
      </c>
      <c r="F59" s="75">
        <f t="shared" si="8"/>
        <v>44543.75</v>
      </c>
      <c r="G59" s="75">
        <f>最新日期貨三大法人!C48</f>
        <v>14254</v>
      </c>
      <c r="H59" s="53">
        <f>最新日期貨三大法人!D48</f>
        <v>22</v>
      </c>
      <c r="I59" s="75">
        <v>20</v>
      </c>
      <c r="J59" s="75">
        <f t="shared" si="9"/>
        <v>44518.181818181816</v>
      </c>
      <c r="K59" s="75">
        <f>最新日期貨三大法人!E48</f>
        <v>19588</v>
      </c>
      <c r="L59" s="53">
        <f>最新日期貨三大法人!F48</f>
        <v>-6</v>
      </c>
      <c r="M59" s="57">
        <f>最新日期貨三大法人!G48</f>
        <v>-5334</v>
      </c>
      <c r="N59" s="53">
        <f t="shared" si="10"/>
        <v>44518.181818181816</v>
      </c>
      <c r="O59" s="57" t="str">
        <f t="shared" si="11"/>
        <v>做空期貨44518</v>
      </c>
      <c r="P59" s="76">
        <f>最新日期貨三大法人!H48</f>
        <v>56</v>
      </c>
      <c r="Q59" s="76">
        <v>20</v>
      </c>
      <c r="R59" s="76">
        <f t="shared" si="12"/>
        <v>44575</v>
      </c>
      <c r="S59" s="61">
        <f>最新日期貨三大法人!I48</f>
        <v>49924</v>
      </c>
      <c r="T59" s="76">
        <f>最新日期貨三大法人!J48</f>
        <v>254</v>
      </c>
      <c r="U59" s="76">
        <v>20</v>
      </c>
      <c r="V59" s="76">
        <f t="shared" si="13"/>
        <v>44568.897637795271</v>
      </c>
      <c r="W59" s="61">
        <f>最新日期貨三大法人!K48</f>
        <v>226410</v>
      </c>
      <c r="X59" s="77">
        <f>最新日期貨三大法人!L48</f>
        <v>-198</v>
      </c>
      <c r="Y59" s="61">
        <f>最新日期貨三大法人!M48</f>
        <v>-176486</v>
      </c>
      <c r="Z59" s="77">
        <f t="shared" si="14"/>
        <v>44568.897637795271</v>
      </c>
      <c r="AA59" s="61" t="str">
        <f t="shared" si="15"/>
        <v>做空期貨44569</v>
      </c>
    </row>
    <row r="60" spans="1:27" ht="16.5" customHeight="1" x14ac:dyDescent="0.4">
      <c r="B60" s="110" t="s">
        <v>207</v>
      </c>
      <c r="C60" s="79" t="s">
        <v>186</v>
      </c>
      <c r="D60" s="36">
        <f>最新日期貨三大法人!D49</f>
        <v>223</v>
      </c>
      <c r="E60" s="69">
        <v>50</v>
      </c>
      <c r="F60" s="69">
        <f t="shared" si="8"/>
        <v>15090.044843049327</v>
      </c>
      <c r="G60" s="69">
        <f>最新日期貨三大法人!E49</f>
        <v>168254</v>
      </c>
      <c r="H60" s="36">
        <f>最新日期貨三大法人!F49</f>
        <v>35</v>
      </c>
      <c r="I60" s="69">
        <v>50</v>
      </c>
      <c r="J60" s="69">
        <f t="shared" si="9"/>
        <v>15087.428571428571</v>
      </c>
      <c r="K60" s="69">
        <f>最新日期貨三大法人!G49</f>
        <v>26403</v>
      </c>
      <c r="L60" s="45">
        <f>最新日期貨三大法人!H49</f>
        <v>188</v>
      </c>
      <c r="M60" s="49">
        <f>最新日期貨三大法人!I49</f>
        <v>141851</v>
      </c>
      <c r="N60" s="45">
        <f t="shared" si="10"/>
        <v>15090.044843049327</v>
      </c>
      <c r="O60" s="49" t="str">
        <f t="shared" si="11"/>
        <v>做多期貨15090</v>
      </c>
      <c r="P60" s="70">
        <f>最新日期貨三大法人!J49</f>
        <v>67</v>
      </c>
      <c r="Q60" s="70">
        <v>50</v>
      </c>
      <c r="R60" s="70">
        <f t="shared" si="12"/>
        <v>15086.865671641792</v>
      </c>
      <c r="S60" s="44">
        <f>最新日期貨三大法人!K49</f>
        <v>50541</v>
      </c>
      <c r="T60" s="70">
        <f>最新日期貨三大法人!L49</f>
        <v>7</v>
      </c>
      <c r="U60" s="70">
        <v>50</v>
      </c>
      <c r="V60" s="70">
        <f t="shared" si="13"/>
        <v>15088.571428571429</v>
      </c>
      <c r="W60" s="44">
        <f>最新日期貨三大法人!M49</f>
        <v>5281</v>
      </c>
      <c r="X60" s="71">
        <f>最新日期貨三大法人!N49</f>
        <v>60</v>
      </c>
      <c r="Y60" s="44">
        <f>最新日期貨三大法人!O49</f>
        <v>45260</v>
      </c>
      <c r="Z60" s="71">
        <f t="shared" si="14"/>
        <v>15086.865671641792</v>
      </c>
      <c r="AA60" s="52" t="str">
        <f t="shared" si="15"/>
        <v>做多期貨15087</v>
      </c>
    </row>
    <row r="61" spans="1:27" x14ac:dyDescent="0.4">
      <c r="B61" s="111"/>
      <c r="C61" s="63" t="s">
        <v>187</v>
      </c>
      <c r="D61" s="45">
        <f>最新日期貨三大法人!B50</f>
        <v>0</v>
      </c>
      <c r="E61" s="72">
        <v>50</v>
      </c>
      <c r="F61" s="72" t="str">
        <f t="shared" si="8"/>
        <v/>
      </c>
      <c r="G61" s="72">
        <f>最新日期貨三大法人!C50</f>
        <v>0</v>
      </c>
      <c r="H61" s="45">
        <f>最新日期貨三大法人!D50</f>
        <v>0</v>
      </c>
      <c r="I61" s="72">
        <v>50</v>
      </c>
      <c r="J61" s="72" t="str">
        <f t="shared" si="9"/>
        <v/>
      </c>
      <c r="K61" s="72">
        <f>最新日期貨三大法人!E50</f>
        <v>0</v>
      </c>
      <c r="L61" s="45">
        <f>最新日期貨三大法人!F50</f>
        <v>0</v>
      </c>
      <c r="M61" s="49">
        <f>最新日期貨三大法人!G50</f>
        <v>0</v>
      </c>
      <c r="N61" s="45" t="str">
        <f t="shared" si="10"/>
        <v/>
      </c>
      <c r="O61" s="49" t="str">
        <f t="shared" si="11"/>
        <v/>
      </c>
      <c r="P61" s="73">
        <f>最新日期貨三大法人!H50</f>
        <v>0</v>
      </c>
      <c r="Q61" s="73">
        <v>50</v>
      </c>
      <c r="R61" s="73" t="str">
        <f t="shared" si="12"/>
        <v/>
      </c>
      <c r="S61" s="52">
        <f>最新日期貨三大法人!I50</f>
        <v>0</v>
      </c>
      <c r="T61" s="73">
        <f>最新日期貨三大法人!J50</f>
        <v>0</v>
      </c>
      <c r="U61" s="73">
        <v>50</v>
      </c>
      <c r="V61" s="73" t="str">
        <f t="shared" si="13"/>
        <v/>
      </c>
      <c r="W61" s="52">
        <f>最新日期貨三大法人!K50</f>
        <v>0</v>
      </c>
      <c r="X61" s="74">
        <f>最新日期貨三大法人!L50</f>
        <v>0</v>
      </c>
      <c r="Y61" s="52">
        <f>最新日期貨三大法人!M50</f>
        <v>0</v>
      </c>
      <c r="Z61" s="74" t="str">
        <f t="shared" si="14"/>
        <v/>
      </c>
      <c r="AA61" s="52" t="str">
        <f t="shared" si="15"/>
        <v/>
      </c>
    </row>
    <row r="62" spans="1:27" ht="17.5" thickBot="1" x14ac:dyDescent="0.45">
      <c r="B62" s="112"/>
      <c r="C62" s="80" t="s">
        <v>188</v>
      </c>
      <c r="D62" s="53">
        <f>最新日期貨三大法人!B51</f>
        <v>689</v>
      </c>
      <c r="E62" s="75">
        <v>50</v>
      </c>
      <c r="F62" s="75">
        <f t="shared" si="8"/>
        <v>15085.10885341074</v>
      </c>
      <c r="G62" s="75">
        <f>最新日期貨三大法人!C51</f>
        <v>519682</v>
      </c>
      <c r="H62" s="53">
        <f>最新日期貨三大法人!D51</f>
        <v>720</v>
      </c>
      <c r="I62" s="75">
        <v>50</v>
      </c>
      <c r="J62" s="75">
        <f t="shared" si="9"/>
        <v>15081.388888888891</v>
      </c>
      <c r="K62" s="75">
        <f>最新日期貨三大法人!E51</f>
        <v>542930</v>
      </c>
      <c r="L62" s="53">
        <f>最新日期貨三大法人!F51</f>
        <v>-31</v>
      </c>
      <c r="M62" s="57">
        <f>最新日期貨三大法人!G51</f>
        <v>-23248</v>
      </c>
      <c r="N62" s="53">
        <f t="shared" si="10"/>
        <v>15081.388888888891</v>
      </c>
      <c r="O62" s="57" t="str">
        <f t="shared" si="11"/>
        <v>做空期貨15081</v>
      </c>
      <c r="P62" s="76">
        <f>最新日期貨三大法人!H51</f>
        <v>134</v>
      </c>
      <c r="Q62" s="76">
        <v>50</v>
      </c>
      <c r="R62" s="76">
        <f t="shared" si="12"/>
        <v>15087.164179104479</v>
      </c>
      <c r="S62" s="61">
        <f>最新日期貨三大法人!I51</f>
        <v>101084</v>
      </c>
      <c r="T62" s="76">
        <f>最新日期貨三大法人!J51</f>
        <v>132</v>
      </c>
      <c r="U62" s="76">
        <v>50</v>
      </c>
      <c r="V62" s="76">
        <f t="shared" si="13"/>
        <v>15087.12121212121</v>
      </c>
      <c r="W62" s="61">
        <f>最新日期貨三大法人!K51</f>
        <v>99575</v>
      </c>
      <c r="X62" s="77">
        <f>最新日期貨三大法人!L51</f>
        <v>2</v>
      </c>
      <c r="Y62" s="61">
        <f>最新日期貨三大法人!M51</f>
        <v>1509</v>
      </c>
      <c r="Z62" s="77">
        <f t="shared" si="14"/>
        <v>15087.164179104479</v>
      </c>
      <c r="AA62" s="61" t="str">
        <f t="shared" si="15"/>
        <v>做多期貨15087</v>
      </c>
    </row>
    <row r="63" spans="1:27" x14ac:dyDescent="0.4">
      <c r="A63" s="120">
        <f ca="1">圖形!D2</f>
        <v>44487</v>
      </c>
      <c r="B63" s="78"/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</row>
  </sheetData>
  <mergeCells count="38">
    <mergeCell ref="B60:B62"/>
    <mergeCell ref="B27:B29"/>
    <mergeCell ref="B30:B32"/>
    <mergeCell ref="B33:B35"/>
    <mergeCell ref="B36:B38"/>
    <mergeCell ref="B39:B41"/>
    <mergeCell ref="B42:B44"/>
    <mergeCell ref="B45:B47"/>
    <mergeCell ref="B48:B50"/>
    <mergeCell ref="B51:B53"/>
    <mergeCell ref="B54:B56"/>
    <mergeCell ref="B57:B59"/>
    <mergeCell ref="B24:B26"/>
    <mergeCell ref="B5:B7"/>
    <mergeCell ref="B8:B10"/>
    <mergeCell ref="B12:C14"/>
    <mergeCell ref="D12:O12"/>
    <mergeCell ref="B15:B17"/>
    <mergeCell ref="B18:B20"/>
    <mergeCell ref="B21:B23"/>
    <mergeCell ref="P12:AA12"/>
    <mergeCell ref="D13:G13"/>
    <mergeCell ref="H13:K13"/>
    <mergeCell ref="L13:M13"/>
    <mergeCell ref="P13:S13"/>
    <mergeCell ref="T13:W13"/>
    <mergeCell ref="X13:Y13"/>
    <mergeCell ref="Z13:AA13"/>
    <mergeCell ref="B2:C4"/>
    <mergeCell ref="D2:O2"/>
    <mergeCell ref="P2:AA2"/>
    <mergeCell ref="D3:G3"/>
    <mergeCell ref="H3:K3"/>
    <mergeCell ref="L3:M3"/>
    <mergeCell ref="P3:S3"/>
    <mergeCell ref="T3:W3"/>
    <mergeCell ref="X3:Y3"/>
    <mergeCell ref="Z3:AA3"/>
  </mergeCells>
  <phoneticPr fontId="1" type="noConversion"/>
  <conditionalFormatting sqref="O15:O62">
    <cfRule type="containsText" dxfId="7" priority="7" operator="containsText" text="空">
      <formula>NOT(ISERROR(SEARCH("空",O15)))</formula>
    </cfRule>
    <cfRule type="containsText" dxfId="6" priority="8" operator="containsText" text="多">
      <formula>NOT(ISERROR(SEARCH("多",O15)))</formula>
    </cfRule>
  </conditionalFormatting>
  <conditionalFormatting sqref="O5:O10">
    <cfRule type="containsText" dxfId="5" priority="1" operator="containsText" text="空">
      <formula>NOT(ISERROR(SEARCH("空",O5)))</formula>
    </cfRule>
    <cfRule type="containsText" dxfId="4" priority="2" operator="containsText" text="多">
      <formula>NOT(ISERROR(SEARCH("多",O5)))</formula>
    </cfRule>
  </conditionalFormatting>
  <conditionalFormatting sqref="AA15:AA62">
    <cfRule type="containsText" dxfId="3" priority="5" operator="containsText" text="空">
      <formula>NOT(ISERROR(SEARCH("空",AA15)))</formula>
    </cfRule>
    <cfRule type="containsText" dxfId="2" priority="6" operator="containsText" text="多">
      <formula>NOT(ISERROR(SEARCH("多",AA15)))</formula>
    </cfRule>
  </conditionalFormatting>
  <conditionalFormatting sqref="AA5:AA10">
    <cfRule type="containsText" dxfId="1" priority="3" operator="containsText" text="空">
      <formula>NOT(ISERROR(SEARCH("空",AA5)))</formula>
    </cfRule>
    <cfRule type="containsText" dxfId="0" priority="4" operator="containsText" text="多">
      <formula>NOT(ISERROR(SEARCH("多",AA5)))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15687-92FE-4303-A6EA-FDE681811EA6}">
  <sheetPr codeName="工作表12"/>
  <dimension ref="A1:U144"/>
  <sheetViews>
    <sheetView showFormulas="1" topLeftCell="A31" workbookViewId="0">
      <selection activeCell="E6" sqref="E6"/>
    </sheetView>
  </sheetViews>
  <sheetFormatPr defaultColWidth="0" defaultRowHeight="17" customHeight="1" zeroHeight="1" x14ac:dyDescent="0.4"/>
  <cols>
    <col min="1" max="1" width="9" style="87" customWidth="1"/>
    <col min="2" max="2" width="23.08984375" style="87" bestFit="1" customWidth="1"/>
    <col min="3" max="5" width="9" style="87" customWidth="1"/>
    <col min="6" max="6" width="4.54296875" style="87" bestFit="1" customWidth="1"/>
    <col min="7" max="7" width="23.08984375" style="87" bestFit="1" customWidth="1"/>
    <col min="8" max="21" width="9" style="87" customWidth="1"/>
    <col min="22" max="16384" width="0" style="87" hidden="1"/>
  </cols>
  <sheetData>
    <row r="1" spans="1:21" x14ac:dyDescent="0.4">
      <c r="A1" s="86" t="s">
        <v>210</v>
      </c>
      <c r="B1" s="86" t="s">
        <v>211</v>
      </c>
      <c r="C1" s="86" t="s">
        <v>183</v>
      </c>
      <c r="D1" s="86" t="s">
        <v>3</v>
      </c>
      <c r="E1" s="86"/>
      <c r="F1" s="86" t="s">
        <v>212</v>
      </c>
      <c r="G1" s="86" t="s">
        <v>211</v>
      </c>
      <c r="H1" s="86" t="s">
        <v>183</v>
      </c>
      <c r="I1" s="86" t="s">
        <v>3</v>
      </c>
      <c r="J1" s="86" t="s">
        <v>213</v>
      </c>
    </row>
    <row r="2" spans="1:21" x14ac:dyDescent="0.4">
      <c r="A2" s="88">
        <f>IF(ISERROR(RANK(C2,$C$2:$C$13,1)+COUNTIF($C$2:$C2,C2)-1),"",RANK(C2,$C$2:$C$13,1)+COUNTIF($C$2:$C2,C2)-1)</f>
        <v>2</v>
      </c>
      <c r="B2" s="88" t="str">
        <f>IF(對照日彙整!L5&lt;0,"自營商Sell-Call","自營商Buy-Call")</f>
        <v>自營商Sell-Call</v>
      </c>
      <c r="C2" s="88">
        <f>對照日彙整!N5</f>
        <v>16300</v>
      </c>
      <c r="D2" s="88">
        <f>對照日彙整!L5</f>
        <v>-18969</v>
      </c>
      <c r="E2" s="88"/>
      <c r="F2" s="88">
        <v>1</v>
      </c>
      <c r="G2" s="88" t="str">
        <f t="shared" ref="G2:G13" si="0">IF(ISERROR(VLOOKUP($F2,$A$2:$D$13,2,0)),"",VLOOKUP($F2,$A$2:$D$13,2,0))</f>
        <v>外資Buy-Call</v>
      </c>
      <c r="H2" s="88">
        <f t="shared" ref="H2:H13" si="1">IF(ISERROR(VLOOKUP($F2,$A$2:$D$13,3,0)),"",VLOOKUP($F2,$A$2:$D$13,3,0))</f>
        <v>16250</v>
      </c>
      <c r="I2" s="88">
        <f>IF(ISERROR(VLOOKUP($F2,$A$2:$D$13,4,0)),"",VLOOKUP($F2,$A$2:$D$13,4,0))</f>
        <v>2118</v>
      </c>
      <c r="J2" s="88">
        <f>I2</f>
        <v>2118</v>
      </c>
      <c r="K2" s="88"/>
      <c r="L2" s="88"/>
      <c r="M2" s="88"/>
      <c r="N2" s="88"/>
      <c r="O2" s="88"/>
      <c r="P2" s="88"/>
      <c r="Q2" s="88"/>
      <c r="R2" s="88"/>
      <c r="S2" s="89"/>
      <c r="T2" s="89"/>
      <c r="U2" s="89"/>
    </row>
    <row r="3" spans="1:21" x14ac:dyDescent="0.4">
      <c r="A3" s="88" t="str">
        <f>IF(ISERROR(RANK(C3,$C$2:$C$13,1)+COUNTIF($C$2:$C3,C3)-1),"",RANK(C3,$C$2:$C$13,1)+COUNTIF($C$2:$C3,C3)-1)</f>
        <v/>
      </c>
      <c r="B3" s="88" t="str">
        <f>IF(對照日彙整!L6&lt;0,"投信Sell-Call","投信Buy-Call")</f>
        <v>投信Buy-Call</v>
      </c>
      <c r="C3" s="88" t="str">
        <f>對照日彙整!N6</f>
        <v/>
      </c>
      <c r="D3" s="88">
        <f>對照日彙整!L6</f>
        <v>0</v>
      </c>
      <c r="E3" s="88"/>
      <c r="F3" s="88">
        <v>2</v>
      </c>
      <c r="G3" s="88" t="str">
        <f t="shared" si="0"/>
        <v>自營商Sell-Call</v>
      </c>
      <c r="H3" s="88">
        <f t="shared" si="1"/>
        <v>16300</v>
      </c>
      <c r="I3" s="88">
        <f t="shared" ref="I2:I13" si="2">IF(ISERROR(VLOOKUP($F3,$A$2:$D$13,4,0)),"",VLOOKUP($F3,$A$2:$D$13,4,0))</f>
        <v>-18969</v>
      </c>
      <c r="J3" s="88"/>
      <c r="K3" s="88">
        <f>I3</f>
        <v>-18969</v>
      </c>
      <c r="L3" s="88"/>
      <c r="M3" s="88"/>
      <c r="N3" s="88"/>
      <c r="O3" s="88"/>
      <c r="P3" s="88"/>
      <c r="Q3" s="88"/>
      <c r="R3" s="88"/>
      <c r="S3" s="89"/>
      <c r="T3" s="89"/>
      <c r="U3" s="89"/>
    </row>
    <row r="4" spans="1:21" x14ac:dyDescent="0.4">
      <c r="A4" s="88">
        <f>IF(ISERROR(RANK(C4,$C$2:$C$13,1)+COUNTIF($C$2:$C4,C4)-1),"",RANK(C4,$C$2:$C$13,1)+COUNTIF($C$2:$C4,C4)-1)</f>
        <v>1</v>
      </c>
      <c r="B4" s="88" t="str">
        <f>IF(對照日彙整!L7&lt;0,"外資Sell-Call","外資Buy-Call")</f>
        <v>外資Buy-Call</v>
      </c>
      <c r="C4" s="88">
        <f>對照日彙整!N7</f>
        <v>16250</v>
      </c>
      <c r="D4" s="88">
        <f>對照日彙整!L7</f>
        <v>2118</v>
      </c>
      <c r="E4" s="88"/>
      <c r="F4" s="88">
        <v>3</v>
      </c>
      <c r="G4" s="88" t="str">
        <f t="shared" si="0"/>
        <v>投信Sell大台</v>
      </c>
      <c r="H4" s="88">
        <f t="shared" si="1"/>
        <v>16332.429078014184</v>
      </c>
      <c r="I4" s="88">
        <f t="shared" si="2"/>
        <v>-121</v>
      </c>
      <c r="J4" s="88"/>
      <c r="K4" s="88"/>
      <c r="L4" s="88">
        <f>I4</f>
        <v>-121</v>
      </c>
      <c r="M4" s="88"/>
      <c r="N4" s="88"/>
      <c r="O4" s="88"/>
      <c r="P4" s="88"/>
      <c r="Q4" s="88"/>
      <c r="R4" s="88"/>
      <c r="S4" s="89"/>
      <c r="T4" s="89"/>
      <c r="U4" s="89"/>
    </row>
    <row r="5" spans="1:21" x14ac:dyDescent="0.4">
      <c r="A5" s="88">
        <f>IF(ISERROR(RANK(C5,$C$2:$C$13,1)+COUNTIF($C$2:$C5,C5)-1),"",RANK(C5,$C$2:$C$13,1)+COUNTIF($C$2:$C5,C5)-1)</f>
        <v>4</v>
      </c>
      <c r="B5" s="88" t="str">
        <f>IF(對照日彙整!L8&gt;0,"自營商Buy-Put","自營商Sell-Put")</f>
        <v>自營商Sell-Put</v>
      </c>
      <c r="C5" s="88">
        <f>對照日彙整!N8</f>
        <v>16350</v>
      </c>
      <c r="D5" s="88">
        <f>對照日彙整!L8*-1</f>
        <v>1577</v>
      </c>
      <c r="E5" s="88"/>
      <c r="F5" s="88">
        <v>4</v>
      </c>
      <c r="G5" s="88" t="str">
        <f t="shared" si="0"/>
        <v>自營商Sell-Put</v>
      </c>
      <c r="H5" s="88">
        <f t="shared" si="1"/>
        <v>16350</v>
      </c>
      <c r="I5" s="88">
        <f t="shared" si="2"/>
        <v>1577</v>
      </c>
      <c r="J5" s="88"/>
      <c r="K5" s="88"/>
      <c r="L5" s="88"/>
      <c r="M5" s="88">
        <f>I5</f>
        <v>1577</v>
      </c>
      <c r="N5" s="88"/>
      <c r="O5" s="88"/>
      <c r="P5" s="88"/>
      <c r="Q5" s="88"/>
      <c r="R5" s="88"/>
      <c r="S5" s="89"/>
      <c r="T5" s="89"/>
      <c r="U5" s="89"/>
    </row>
    <row r="6" spans="1:21" x14ac:dyDescent="0.4">
      <c r="A6" s="88" t="str">
        <f>IF(ISERROR(RANK(C6,$C$2:$C$13,1)+COUNTIF($C$2:$C6,C6)-1),"",RANK(C6,$C$2:$C$13,1)+COUNTIF($C$2:$C6,C6)-1)</f>
        <v/>
      </c>
      <c r="B6" s="88" t="str">
        <f>IF(對照日彙整!L9&gt;0,"投信Buy-Put","投信Sell-Put")</f>
        <v>投信Sell-Put</v>
      </c>
      <c r="C6" s="88" t="str">
        <f>對照日彙整!N9</f>
        <v/>
      </c>
      <c r="D6" s="88">
        <f>對照日彙整!L9*-1</f>
        <v>0</v>
      </c>
      <c r="E6" s="88"/>
      <c r="F6" s="88">
        <v>5</v>
      </c>
      <c r="G6" s="88" t="str">
        <f t="shared" si="0"/>
        <v>外資Buy-Put</v>
      </c>
      <c r="H6" s="88">
        <f t="shared" si="1"/>
        <v>16400</v>
      </c>
      <c r="I6" s="88">
        <f t="shared" si="2"/>
        <v>-1824</v>
      </c>
      <c r="J6" s="88"/>
      <c r="K6" s="88"/>
      <c r="L6" s="88"/>
      <c r="M6" s="88"/>
      <c r="N6" s="88">
        <f>I6</f>
        <v>-1824</v>
      </c>
      <c r="O6" s="88"/>
      <c r="P6" s="88"/>
      <c r="Q6" s="88"/>
      <c r="R6" s="88"/>
      <c r="S6" s="89"/>
      <c r="T6" s="89"/>
      <c r="U6" s="89"/>
    </row>
    <row r="7" spans="1:21" x14ac:dyDescent="0.4">
      <c r="A7" s="88">
        <f>IF(ISERROR(RANK(C7,$C$2:$C$13,1)+COUNTIF($C$2:$C7,C7)-1),"",RANK(C7,$C$2:$C$13,1)+COUNTIF($C$2:$C7,C7)-1)</f>
        <v>5</v>
      </c>
      <c r="B7" s="88" t="str">
        <f>IF(對照日彙整!L10&gt;0,"外資Buy-Put","外資Sell-Put")</f>
        <v>外資Buy-Put</v>
      </c>
      <c r="C7" s="88">
        <f>對照日彙整!N10</f>
        <v>16400</v>
      </c>
      <c r="D7" s="88">
        <f>對照日彙整!L10*-1</f>
        <v>-1824</v>
      </c>
      <c r="E7" s="88"/>
      <c r="F7" s="88">
        <v>6</v>
      </c>
      <c r="G7" s="88" t="str">
        <f t="shared" si="0"/>
        <v>自營商Sell大台</v>
      </c>
      <c r="H7" s="88">
        <f t="shared" si="1"/>
        <v>16431.975185889678</v>
      </c>
      <c r="I7" s="88">
        <f t="shared" si="2"/>
        <v>-402</v>
      </c>
      <c r="J7" s="88"/>
      <c r="K7" s="88"/>
      <c r="L7" s="88"/>
      <c r="M7" s="88"/>
      <c r="N7" s="88"/>
      <c r="O7" s="88">
        <f>I7</f>
        <v>-402</v>
      </c>
      <c r="P7" s="88"/>
      <c r="Q7" s="88"/>
      <c r="R7" s="88"/>
      <c r="S7" s="89"/>
      <c r="T7" s="89"/>
      <c r="U7" s="89"/>
    </row>
    <row r="8" spans="1:21" x14ac:dyDescent="0.4">
      <c r="A8" s="88">
        <f>IF(ISERROR(RANK(C8,$C$2:$C$13,1)+COUNTIF($C$2:$C8,C8)-1),"",RANK(C8,$C$2:$C$13,1)+COUNTIF($C$2:$C8,C8)-1)</f>
        <v>6</v>
      </c>
      <c r="B8" s="88" t="str">
        <f>IF(對照日彙整!L15=0,"",IF(對照日彙整!L15&gt;0,"自營商Buy大台","自營商Sell大台"))</f>
        <v>自營商Sell大台</v>
      </c>
      <c r="C8" s="88">
        <f>對照日彙整!N15</f>
        <v>16431.975185889678</v>
      </c>
      <c r="D8" s="88">
        <f>對照日彙整!L15</f>
        <v>-402</v>
      </c>
      <c r="E8" s="88"/>
      <c r="F8" s="88">
        <v>7</v>
      </c>
      <c r="G8" s="88" t="str">
        <f t="shared" si="0"/>
        <v>自營商Sell小台</v>
      </c>
      <c r="H8" s="88">
        <f t="shared" si="1"/>
        <v>16432.314623158407</v>
      </c>
      <c r="I8" s="88">
        <f t="shared" si="2"/>
        <v>-717</v>
      </c>
      <c r="J8" s="88"/>
      <c r="K8" s="88"/>
      <c r="L8" s="88"/>
      <c r="M8" s="88"/>
      <c r="N8" s="88"/>
      <c r="O8" s="88"/>
      <c r="P8" s="88">
        <f>I8</f>
        <v>-717</v>
      </c>
      <c r="Q8" s="88"/>
      <c r="R8" s="88"/>
      <c r="S8" s="89"/>
      <c r="T8" s="89"/>
      <c r="U8" s="89"/>
    </row>
    <row r="9" spans="1:21" x14ac:dyDescent="0.4">
      <c r="A9" s="88">
        <f>IF(ISERROR(RANK(C9,$C$2:$C$13,1)+COUNTIF($C$2:$C9,C9)-1),"",RANK(C9,$C$2:$C$13,1)+COUNTIF($C$2:$C9,C9)-1)</f>
        <v>3</v>
      </c>
      <c r="B9" s="88" t="str">
        <f>IF(對照日彙整!L16=0,"",IF(對照日彙整!L16&gt;0,"投信Buy大台","投信Sell大台"))</f>
        <v>投信Sell大台</v>
      </c>
      <c r="C9" s="88">
        <f>對照日彙整!N16</f>
        <v>16332.429078014184</v>
      </c>
      <c r="D9" s="88">
        <f>對照日彙整!L16</f>
        <v>-121</v>
      </c>
      <c r="E9" s="88"/>
      <c r="F9" s="88">
        <v>8</v>
      </c>
      <c r="G9" s="88" t="str">
        <f t="shared" si="0"/>
        <v>外資Sell大台</v>
      </c>
      <c r="H9" s="88">
        <f t="shared" si="1"/>
        <v>16445.245816060189</v>
      </c>
      <c r="I9" s="88">
        <f t="shared" si="2"/>
        <v>-2814</v>
      </c>
      <c r="J9" s="88"/>
      <c r="K9" s="88"/>
      <c r="L9" s="88"/>
      <c r="M9" s="88"/>
      <c r="N9" s="88"/>
      <c r="O9" s="88"/>
      <c r="P9" s="88"/>
      <c r="Q9" s="88">
        <f>I9</f>
        <v>-2814</v>
      </c>
      <c r="R9" s="88"/>
      <c r="S9" s="89"/>
      <c r="T9" s="89"/>
      <c r="U9" s="89"/>
    </row>
    <row r="10" spans="1:21" x14ac:dyDescent="0.4">
      <c r="A10" s="88">
        <f>IF(ISERROR(RANK(C10,$C$2:$C$13,1)+COUNTIF($C$2:$C10,C10)-1),"",RANK(C10,$C$2:$C$13,1)+COUNTIF($C$2:$C10,C10)-1)</f>
        <v>8</v>
      </c>
      <c r="B10" s="88" t="str">
        <f>IF(對照日彙整!L17=0,"",IF(對照日彙整!L17&gt;0,"外資Buy大台","外資Sell大台"))</f>
        <v>外資Sell大台</v>
      </c>
      <c r="C10" s="88">
        <f>對照日彙整!N17</f>
        <v>16445.245816060189</v>
      </c>
      <c r="D10" s="88">
        <f>對照日彙整!L17</f>
        <v>-2814</v>
      </c>
      <c r="E10" s="88"/>
      <c r="F10" s="88">
        <v>9</v>
      </c>
      <c r="G10" s="88" t="str">
        <f t="shared" si="0"/>
        <v>外資Sell小台</v>
      </c>
      <c r="H10" s="88">
        <f t="shared" si="1"/>
        <v>16447.717253473627</v>
      </c>
      <c r="I10" s="88">
        <f t="shared" si="2"/>
        <v>-3461</v>
      </c>
      <c r="J10" s="88"/>
      <c r="K10" s="88"/>
      <c r="L10" s="88"/>
      <c r="M10" s="88"/>
      <c r="N10" s="88"/>
      <c r="O10" s="88"/>
      <c r="P10" s="88"/>
      <c r="Q10" s="88"/>
      <c r="R10" s="88">
        <f>I10</f>
        <v>-3461</v>
      </c>
      <c r="S10" s="89"/>
      <c r="T10" s="89"/>
      <c r="U10" s="89"/>
    </row>
    <row r="11" spans="1:21" x14ac:dyDescent="0.4">
      <c r="A11" s="88">
        <f>IF(ISERROR(RANK(C11,$C$2:$C$13,1)+COUNTIF($C$2:$C11,C11)-1),"",RANK(C11,$C$2:$C$13,1)+COUNTIF($C$2:$C11,C11)-1)</f>
        <v>7</v>
      </c>
      <c r="B11" s="88" t="str">
        <f>IF(對照日彙整!L24=0,"",IF(對照日彙整!L24&gt;0,"自營商Buy小台","自營商Sell小台"))</f>
        <v>自營商Sell小台</v>
      </c>
      <c r="C11" s="88">
        <f>對照日彙整!N24</f>
        <v>16432.314623158407</v>
      </c>
      <c r="D11" s="88">
        <f>對照日彙整!L24</f>
        <v>-717</v>
      </c>
      <c r="F11" s="88">
        <v>10</v>
      </c>
      <c r="G11" s="88" t="str">
        <f t="shared" si="0"/>
        <v/>
      </c>
      <c r="H11" s="88" t="str">
        <f t="shared" si="1"/>
        <v/>
      </c>
      <c r="I11" s="88" t="str">
        <f t="shared" si="2"/>
        <v/>
      </c>
      <c r="J11" s="88"/>
      <c r="K11" s="89"/>
      <c r="L11" s="89"/>
      <c r="M11" s="89"/>
      <c r="N11" s="89"/>
      <c r="O11" s="89"/>
      <c r="P11" s="89"/>
      <c r="Q11" s="89"/>
      <c r="R11" s="89"/>
      <c r="S11" s="89" t="str">
        <f>I11</f>
        <v/>
      </c>
      <c r="T11" s="89"/>
      <c r="U11" s="89"/>
    </row>
    <row r="12" spans="1:21" x14ac:dyDescent="0.4">
      <c r="A12" s="88" t="str">
        <f>IF(ISERROR(RANK(C12,$C$2:$C$13,1)+COUNTIF($C$2:$C12,C12)-1),"",RANK(C12,$C$2:$C$13,1)+COUNTIF($C$2:$C12,C12)-1)</f>
        <v/>
      </c>
      <c r="B12" s="88" t="str">
        <f>IF(對照日彙整!L25=0,"",IF(對照日彙整!L25&gt;0,"投信Buy小台","投信Sell小台"))</f>
        <v/>
      </c>
      <c r="C12" s="88" t="str">
        <f>對照日彙整!N25</f>
        <v/>
      </c>
      <c r="D12" s="88">
        <f>對照日彙整!L25</f>
        <v>0</v>
      </c>
      <c r="F12" s="88">
        <v>11</v>
      </c>
      <c r="G12" s="88" t="str">
        <f t="shared" si="0"/>
        <v/>
      </c>
      <c r="H12" s="88" t="str">
        <f t="shared" si="1"/>
        <v/>
      </c>
      <c r="I12" s="88" t="str">
        <f t="shared" si="2"/>
        <v/>
      </c>
      <c r="J12" s="88"/>
      <c r="K12" s="89"/>
      <c r="L12" s="89"/>
      <c r="M12" s="89"/>
      <c r="N12" s="89"/>
      <c r="O12" s="89"/>
      <c r="P12" s="89"/>
      <c r="Q12" s="89"/>
      <c r="R12" s="89"/>
      <c r="S12" s="89"/>
      <c r="T12" s="89" t="str">
        <f>I12</f>
        <v/>
      </c>
      <c r="U12" s="89"/>
    </row>
    <row r="13" spans="1:21" x14ac:dyDescent="0.4">
      <c r="A13" s="88">
        <f>IF(ISERROR(RANK(C13,$C$2:$C$13,1)+COUNTIF($C$2:$C13,C13)-1),"",RANK(C13,$C$2:$C$13,1)+COUNTIF($C$2:$C13,C13)-1)</f>
        <v>9</v>
      </c>
      <c r="B13" s="88" t="str">
        <f>IF(對照日彙整!L26=0,"",IF(對照日彙整!L26&gt;0,"外資Buy小台","外資Sell小台"))</f>
        <v>外資Sell小台</v>
      </c>
      <c r="C13" s="88">
        <f>對照日彙整!N26</f>
        <v>16447.717253473627</v>
      </c>
      <c r="D13" s="88">
        <f>對照日彙整!L26</f>
        <v>-3461</v>
      </c>
      <c r="F13" s="88">
        <v>12</v>
      </c>
      <c r="G13" s="88" t="str">
        <f t="shared" si="0"/>
        <v/>
      </c>
      <c r="H13" s="88" t="str">
        <f t="shared" si="1"/>
        <v/>
      </c>
      <c r="I13" s="88" t="str">
        <f t="shared" si="2"/>
        <v/>
      </c>
      <c r="J13" s="89"/>
      <c r="K13" s="89"/>
      <c r="L13" s="89"/>
      <c r="M13" s="89"/>
      <c r="N13" s="89"/>
      <c r="O13" s="89"/>
      <c r="P13" s="89"/>
      <c r="Q13" s="89"/>
      <c r="R13" s="89"/>
      <c r="S13" s="89"/>
      <c r="T13" s="89"/>
      <c r="U13" s="89" t="str">
        <f>I13</f>
        <v/>
      </c>
    </row>
    <row r="14" spans="1:21" x14ac:dyDescent="0.4"/>
    <row r="15" spans="1:21" x14ac:dyDescent="0.4">
      <c r="A15" s="86" t="s">
        <v>210</v>
      </c>
      <c r="B15" s="86" t="s">
        <v>211</v>
      </c>
      <c r="C15" s="86" t="s">
        <v>183</v>
      </c>
      <c r="D15" s="86" t="s">
        <v>3</v>
      </c>
      <c r="E15" s="86"/>
      <c r="F15" s="86" t="s">
        <v>212</v>
      </c>
      <c r="G15" s="86" t="s">
        <v>211</v>
      </c>
      <c r="H15" s="86" t="s">
        <v>183</v>
      </c>
      <c r="I15" s="86" t="s">
        <v>3</v>
      </c>
      <c r="J15" s="86" t="s">
        <v>213</v>
      </c>
    </row>
    <row r="16" spans="1:21" x14ac:dyDescent="0.4">
      <c r="A16" s="88">
        <f>IF(ISERROR(RANK(C16,$C$16:$C$27,1)+COUNTIF($C$16:$C16,C16)-1),"",RANK(C16,$C$16:$C$27,1)+COUNTIF($C$16:$C16,C16)-1)</f>
        <v>4</v>
      </c>
      <c r="B16" s="88" t="str">
        <f>IF(對照日彙整!X5&lt;0,"自營商Sell-Call","自營商Buy-Call")</f>
        <v>自營商Sell-Call</v>
      </c>
      <c r="C16" s="88">
        <f>對照日彙整!Z5</f>
        <v>16300</v>
      </c>
      <c r="D16" s="88">
        <f>對照日彙整!X5</f>
        <v>-3292</v>
      </c>
      <c r="E16" s="88"/>
      <c r="F16" s="88">
        <v>1</v>
      </c>
      <c r="G16" s="88" t="str">
        <f t="shared" ref="G16:G27" si="3">IF(ISERROR(VLOOKUP($F16,$A$16:$D$27,2,0)),"",VLOOKUP($F16,$A$16:$D$27,2,0))</f>
        <v>外資Buy-Call</v>
      </c>
      <c r="H16" s="88">
        <f t="shared" ref="H16:H27" si="4">IF(ISERROR(VLOOKUP($F16,$A$16:$D$27,3,0)),"",VLOOKUP($F16,$A$16:$D$27,3,0))</f>
        <v>16250</v>
      </c>
      <c r="I16" s="88">
        <f t="shared" ref="I16:I27" si="5">IF(ISERROR(VLOOKUP($F16,$A$16:$D$27,4,0)),"",VLOOKUP($F16,$A$16:$D$27,4,0))</f>
        <v>5743</v>
      </c>
      <c r="J16" s="88">
        <f>I16</f>
        <v>5743</v>
      </c>
      <c r="K16" s="88"/>
      <c r="L16" s="88"/>
      <c r="M16" s="88"/>
      <c r="N16" s="88"/>
      <c r="O16" s="88"/>
      <c r="P16" s="88"/>
      <c r="Q16" s="88"/>
      <c r="R16" s="88"/>
      <c r="S16" s="89"/>
      <c r="T16" s="89"/>
      <c r="U16" s="89"/>
    </row>
    <row r="17" spans="1:21" x14ac:dyDescent="0.4">
      <c r="A17" s="88" t="str">
        <f>IF(ISERROR(RANK(C17,$C$16:$C$27,1)+COUNTIF($C$16:$C17,C17)-1),"",RANK(C17,$C$16:$C$27,1)+COUNTIF($C$16:$C17,C17)-1)</f>
        <v/>
      </c>
      <c r="B17" s="88" t="str">
        <f>IF(對照日彙整!X6&lt;0,"投信Sell-Call","投信Buy-Call")</f>
        <v>投信Buy-Call</v>
      </c>
      <c r="C17" s="88" t="str">
        <f>對照日彙整!Z6</f>
        <v/>
      </c>
      <c r="D17" s="88">
        <f>對照日彙整!X6</f>
        <v>0</v>
      </c>
      <c r="E17" s="88"/>
      <c r="F17" s="88">
        <v>2</v>
      </c>
      <c r="G17" s="88" t="str">
        <f t="shared" si="3"/>
        <v>自營商Buy大台</v>
      </c>
      <c r="H17" s="88">
        <f t="shared" si="4"/>
        <v>16292.015729063341</v>
      </c>
      <c r="I17" s="88">
        <f t="shared" si="5"/>
        <v>12815</v>
      </c>
      <c r="J17" s="88"/>
      <c r="K17" s="88">
        <f>I17</f>
        <v>12815</v>
      </c>
      <c r="L17" s="88"/>
      <c r="M17" s="88"/>
      <c r="N17" s="88"/>
      <c r="O17" s="88"/>
      <c r="P17" s="88"/>
      <c r="Q17" s="88"/>
      <c r="R17" s="88"/>
      <c r="S17" s="89"/>
      <c r="T17" s="89"/>
      <c r="U17" s="89"/>
    </row>
    <row r="18" spans="1:21" x14ac:dyDescent="0.4">
      <c r="A18" s="88">
        <f>IF(ISERROR(RANK(C18,$C$16:$C$27,1)+COUNTIF($C$16:$C18,C18)-1),"",RANK(C18,$C$16:$C$27,1)+COUNTIF($C$16:$C18,C18)-1)</f>
        <v>1</v>
      </c>
      <c r="B18" s="88" t="str">
        <f>IF(對照日彙整!X7&lt;0,"外資Sell-Call","外資Buy-Call")</f>
        <v>外資Buy-Call</v>
      </c>
      <c r="C18" s="88">
        <f>對照日彙整!Z7</f>
        <v>16250</v>
      </c>
      <c r="D18" s="88">
        <f>對照日彙整!X7</f>
        <v>5743</v>
      </c>
      <c r="E18" s="88"/>
      <c r="F18" s="88">
        <v>3</v>
      </c>
      <c r="G18" s="88" t="str">
        <f t="shared" si="3"/>
        <v>自營商Buy小台</v>
      </c>
      <c r="H18" s="88">
        <f t="shared" si="4"/>
        <v>16293.895082904517</v>
      </c>
      <c r="I18" s="88">
        <f t="shared" si="5"/>
        <v>540</v>
      </c>
      <c r="J18" s="88"/>
      <c r="K18" s="88"/>
      <c r="L18" s="88">
        <f>I18</f>
        <v>540</v>
      </c>
      <c r="M18" s="88"/>
      <c r="N18" s="88"/>
      <c r="O18" s="88"/>
      <c r="P18" s="88"/>
      <c r="Q18" s="88"/>
      <c r="R18" s="88"/>
      <c r="S18" s="89"/>
      <c r="T18" s="89"/>
      <c r="U18" s="89"/>
    </row>
    <row r="19" spans="1:21" x14ac:dyDescent="0.4">
      <c r="A19" s="88">
        <f>IF(ISERROR(RANK(C19,$C$16:$C$27,1)+COUNTIF($C$16:$C19,C19)-1),"",RANK(C19,$C$16:$C$27,1)+COUNTIF($C$16:$C19,C19)-1)</f>
        <v>9</v>
      </c>
      <c r="B19" s="88" t="str">
        <f>IF(對照日彙整!X8&gt;0,"自營商Buy-Put","自營商Sell-Put")</f>
        <v>自營商Buy-Put</v>
      </c>
      <c r="C19" s="88">
        <f>對照日彙整!Z8</f>
        <v>16550</v>
      </c>
      <c r="D19" s="88">
        <f>對照日彙整!X8*-1</f>
        <v>-6400</v>
      </c>
      <c r="E19" s="88"/>
      <c r="F19" s="88">
        <v>4</v>
      </c>
      <c r="G19" s="88" t="str">
        <f t="shared" si="3"/>
        <v>自營商Sell-Call</v>
      </c>
      <c r="H19" s="88">
        <f t="shared" si="4"/>
        <v>16300</v>
      </c>
      <c r="I19" s="88">
        <f t="shared" si="5"/>
        <v>-3292</v>
      </c>
      <c r="J19" s="88"/>
      <c r="K19" s="88"/>
      <c r="L19" s="88"/>
      <c r="M19" s="88">
        <f>I19</f>
        <v>-3292</v>
      </c>
      <c r="N19" s="88"/>
      <c r="O19" s="88"/>
      <c r="P19" s="88"/>
      <c r="Q19" s="88"/>
      <c r="R19" s="88"/>
      <c r="S19" s="89"/>
      <c r="T19" s="89"/>
      <c r="U19" s="89"/>
    </row>
    <row r="20" spans="1:21" x14ac:dyDescent="0.4">
      <c r="A20" s="88">
        <f>IF(ISERROR(RANK(C20,$C$16:$C$27,1)+COUNTIF($C$16:$C20,C20)-1),"",RANK(C20,$C$16:$C$27,1)+COUNTIF($C$16:$C20,C20)-1)</f>
        <v>11</v>
      </c>
      <c r="B20" s="88" t="str">
        <f>IF(對照日彙整!X9&gt;0,"投信Buy-Put","投信Sell-Put")</f>
        <v>投信Sell-Put</v>
      </c>
      <c r="C20" s="88">
        <f>對照日彙整!Z9</f>
        <v>17200</v>
      </c>
      <c r="D20" s="88">
        <f>對照日彙整!X9*-1</f>
        <v>59</v>
      </c>
      <c r="E20" s="88"/>
      <c r="F20" s="88">
        <v>5</v>
      </c>
      <c r="G20" s="88" t="str">
        <f t="shared" si="3"/>
        <v>外資Sell大台</v>
      </c>
      <c r="H20" s="88">
        <f t="shared" si="4"/>
        <v>16306.818916837783</v>
      </c>
      <c r="I20" s="88">
        <f t="shared" si="5"/>
        <v>-18436</v>
      </c>
      <c r="J20" s="88"/>
      <c r="K20" s="88"/>
      <c r="L20" s="88"/>
      <c r="M20" s="88"/>
      <c r="N20" s="88">
        <f>I20</f>
        <v>-18436</v>
      </c>
      <c r="O20" s="88"/>
      <c r="P20" s="88"/>
      <c r="Q20" s="88"/>
      <c r="R20" s="88"/>
      <c r="S20" s="89"/>
      <c r="T20" s="89"/>
      <c r="U20" s="89"/>
    </row>
    <row r="21" spans="1:21" x14ac:dyDescent="0.4">
      <c r="A21" s="88">
        <f>IF(ISERROR(RANK(C21,$C$16:$C$27,1)+COUNTIF($C$16:$C21,C21)-1),"",RANK(C21,$C$16:$C$27,1)+COUNTIF($C$16:$C21,C21)-1)</f>
        <v>10</v>
      </c>
      <c r="B21" s="88" t="str">
        <f>IF(對照日彙整!X10&gt;0,"外資Buy-Put","外資Sell-Put")</f>
        <v>外資Buy-Put</v>
      </c>
      <c r="C21" s="88">
        <f>對照日彙整!Z10</f>
        <v>16650</v>
      </c>
      <c r="D21" s="88">
        <f>對照日彙整!X10*-1</f>
        <v>-36924</v>
      </c>
      <c r="E21" s="88"/>
      <c r="F21" s="88">
        <v>6</v>
      </c>
      <c r="G21" s="88" t="str">
        <f t="shared" si="3"/>
        <v>外資Sell小台</v>
      </c>
      <c r="H21" s="88">
        <f t="shared" si="4"/>
        <v>16318.254016738958</v>
      </c>
      <c r="I21" s="88">
        <f t="shared" si="5"/>
        <v>-15203</v>
      </c>
      <c r="J21" s="88"/>
      <c r="K21" s="88"/>
      <c r="L21" s="88"/>
      <c r="M21" s="88"/>
      <c r="N21" s="88"/>
      <c r="O21" s="88">
        <f>I21</f>
        <v>-15203</v>
      </c>
      <c r="P21" s="88"/>
      <c r="Q21" s="88"/>
      <c r="R21" s="88"/>
      <c r="S21" s="89"/>
      <c r="T21" s="89"/>
      <c r="U21" s="89"/>
    </row>
    <row r="22" spans="1:21" x14ac:dyDescent="0.4">
      <c r="A22" s="88">
        <f>IF(ISERROR(RANK(C22,$C$16:$C$27,1)+COUNTIF($C$16:$C22,C22)-1),"",RANK(C22,$C$16:$C$27,1)+COUNTIF($C$16:$C22,C22)-1)</f>
        <v>2</v>
      </c>
      <c r="B22" s="88" t="str">
        <f>IF(對照日彙整!X15=0,"",IF(對照日彙整!X15&gt;0,"自營商Buy大台","自營商Sell大台"))</f>
        <v>自營商Buy大台</v>
      </c>
      <c r="C22" s="88">
        <f>對照日彙整!Z15</f>
        <v>16292.015729063341</v>
      </c>
      <c r="D22" s="88">
        <f>對照日彙整!X15</f>
        <v>12815</v>
      </c>
      <c r="E22" s="88"/>
      <c r="F22" s="88">
        <v>7</v>
      </c>
      <c r="G22" s="88" t="str">
        <f t="shared" si="3"/>
        <v>投信Sell大台</v>
      </c>
      <c r="H22" s="88">
        <f t="shared" si="4"/>
        <v>16320.971324382561</v>
      </c>
      <c r="I22" s="88">
        <f t="shared" si="5"/>
        <v>-5352</v>
      </c>
      <c r="J22" s="88"/>
      <c r="K22" s="88"/>
      <c r="L22" s="88"/>
      <c r="M22" s="88"/>
      <c r="N22" s="88"/>
      <c r="O22" s="88"/>
      <c r="P22" s="88">
        <f>I22</f>
        <v>-5352</v>
      </c>
      <c r="Q22" s="88"/>
      <c r="R22" s="88"/>
      <c r="S22" s="89"/>
      <c r="T22" s="89"/>
      <c r="U22" s="89"/>
    </row>
    <row r="23" spans="1:21" x14ac:dyDescent="0.4">
      <c r="A23" s="88">
        <f>IF(ISERROR(RANK(C23,$C$16:$C$27,1)+COUNTIF($C$16:$C23,C23)-1),"",RANK(C23,$C$16:$C$27,1)+COUNTIF($C$16:$C23,C23)-1)</f>
        <v>7</v>
      </c>
      <c r="B23" s="88" t="str">
        <f>IF(對照日彙整!X16=0,"",IF(對照日彙整!X16&gt;0,"投信Buy大台","投信Sell大台"))</f>
        <v>投信Sell大台</v>
      </c>
      <c r="C23" s="88">
        <f>對照日彙整!Z16</f>
        <v>16320.971324382561</v>
      </c>
      <c r="D23" s="88">
        <f>對照日彙整!X16</f>
        <v>-5352</v>
      </c>
      <c r="E23" s="88"/>
      <c r="F23" s="88">
        <v>8</v>
      </c>
      <c r="G23" s="88" t="str">
        <f t="shared" si="3"/>
        <v>投信Buy小台</v>
      </c>
      <c r="H23" s="88">
        <f t="shared" si="4"/>
        <v>16321.04</v>
      </c>
      <c r="I23" s="88">
        <f t="shared" si="5"/>
        <v>250</v>
      </c>
      <c r="J23" s="88"/>
      <c r="K23" s="88"/>
      <c r="L23" s="88"/>
      <c r="M23" s="88"/>
      <c r="N23" s="88"/>
      <c r="O23" s="88"/>
      <c r="P23" s="88"/>
      <c r="Q23" s="88">
        <f>I23</f>
        <v>250</v>
      </c>
      <c r="R23" s="88"/>
      <c r="S23" s="89"/>
      <c r="T23" s="89"/>
      <c r="U23" s="89"/>
    </row>
    <row r="24" spans="1:21" x14ac:dyDescent="0.4">
      <c r="A24" s="88">
        <f>IF(ISERROR(RANK(C24,$C$16:$C$27,1)+COUNTIF($C$16:$C24,C24)-1),"",RANK(C24,$C$16:$C$27,1)+COUNTIF($C$16:$C24,C24)-1)</f>
        <v>5</v>
      </c>
      <c r="B24" s="88" t="str">
        <f>IF(對照日彙整!X17=0,"",IF(對照日彙整!X17&gt;0,"外資Buy大台","外資Sell大台"))</f>
        <v>外資Sell大台</v>
      </c>
      <c r="C24" s="88">
        <f>對照日彙整!Z17</f>
        <v>16306.818916837783</v>
      </c>
      <c r="D24" s="88">
        <f>對照日彙整!X17</f>
        <v>-18436</v>
      </c>
      <c r="E24" s="88"/>
      <c r="F24" s="88">
        <v>9</v>
      </c>
      <c r="G24" s="88" t="str">
        <f t="shared" si="3"/>
        <v>自營商Buy-Put</v>
      </c>
      <c r="H24" s="88">
        <f t="shared" si="4"/>
        <v>16550</v>
      </c>
      <c r="I24" s="88">
        <f t="shared" si="5"/>
        <v>-6400</v>
      </c>
      <c r="J24" s="88"/>
      <c r="K24" s="88"/>
      <c r="L24" s="88"/>
      <c r="M24" s="88"/>
      <c r="N24" s="88"/>
      <c r="O24" s="88"/>
      <c r="P24" s="88"/>
      <c r="Q24" s="88"/>
      <c r="R24" s="88">
        <f>I24</f>
        <v>-6400</v>
      </c>
      <c r="S24" s="89"/>
      <c r="T24" s="89"/>
      <c r="U24" s="89"/>
    </row>
    <row r="25" spans="1:21" x14ac:dyDescent="0.4">
      <c r="A25" s="88">
        <f>IF(ISERROR(RANK(C25,$C$16:$C$27,1)+COUNTIF($C$16:$C25,C25)-1),"",RANK(C25,$C$16:$C$27,1)+COUNTIF($C$16:$C25,C25)-1)</f>
        <v>3</v>
      </c>
      <c r="B25" s="88" t="str">
        <f>IF(對照日彙整!X24=0,"",IF(對照日彙整!X24&gt;0,"自營商Buy小台","自營商Sell小台"))</f>
        <v>自營商Buy小台</v>
      </c>
      <c r="C25" s="88">
        <f>對照日彙整!Z24</f>
        <v>16293.895082904517</v>
      </c>
      <c r="D25" s="88">
        <f>對照日彙整!X24</f>
        <v>540</v>
      </c>
      <c r="F25" s="88">
        <v>10</v>
      </c>
      <c r="G25" s="88" t="str">
        <f t="shared" si="3"/>
        <v>外資Buy-Put</v>
      </c>
      <c r="H25" s="88">
        <f t="shared" si="4"/>
        <v>16650</v>
      </c>
      <c r="I25" s="88">
        <f t="shared" si="5"/>
        <v>-36924</v>
      </c>
      <c r="J25" s="89"/>
      <c r="K25" s="89"/>
      <c r="L25" s="89"/>
      <c r="M25" s="89"/>
      <c r="N25" s="89"/>
      <c r="O25" s="89"/>
      <c r="P25" s="89"/>
      <c r="Q25" s="89"/>
      <c r="R25" s="89"/>
      <c r="S25" s="89">
        <f>I25</f>
        <v>-36924</v>
      </c>
      <c r="T25" s="89"/>
      <c r="U25" s="89"/>
    </row>
    <row r="26" spans="1:21" x14ac:dyDescent="0.4">
      <c r="A26" s="88">
        <f>IF(ISERROR(RANK(C26,$C$16:$C$27,1)+COUNTIF($C$16:$C26,C26)-1),"",RANK(C26,$C$16:$C$27,1)+COUNTIF($C$16:$C26,C26)-1)</f>
        <v>8</v>
      </c>
      <c r="B26" s="88" t="str">
        <f>IF(對照日彙整!X25=0,"",IF(對照日彙整!X25&gt;0,"投信Buy小台","投信Sell小台"))</f>
        <v>投信Buy小台</v>
      </c>
      <c r="C26" s="88">
        <f>對照日彙整!Z25</f>
        <v>16321.04</v>
      </c>
      <c r="D26" s="88">
        <f>對照日彙整!X25</f>
        <v>250</v>
      </c>
      <c r="F26" s="88">
        <v>11</v>
      </c>
      <c r="G26" s="88" t="str">
        <f t="shared" si="3"/>
        <v>投信Sell-Put</v>
      </c>
      <c r="H26" s="88">
        <f t="shared" si="4"/>
        <v>17200</v>
      </c>
      <c r="I26" s="88">
        <f t="shared" si="5"/>
        <v>59</v>
      </c>
      <c r="J26" s="89"/>
      <c r="K26" s="89"/>
      <c r="L26" s="89"/>
      <c r="M26" s="89"/>
      <c r="N26" s="89"/>
      <c r="O26" s="89"/>
      <c r="P26" s="89"/>
      <c r="Q26" s="89"/>
      <c r="R26" s="89"/>
      <c r="S26" s="89"/>
      <c r="T26" s="89">
        <f>I26</f>
        <v>59</v>
      </c>
      <c r="U26" s="89"/>
    </row>
    <row r="27" spans="1:21" x14ac:dyDescent="0.4">
      <c r="A27" s="88">
        <f>IF(ISERROR(RANK(C27,$C$16:$C$27,1)+COUNTIF($C$16:$C27,C27)-1),"",RANK(C27,$C$16:$C$27,1)+COUNTIF($C$16:$C27,C27)-1)</f>
        <v>6</v>
      </c>
      <c r="B27" s="88" t="str">
        <f>IF(對照日彙整!X26=0,"",IF(對照日彙整!X26&gt;0,"外資Buy小台","外資Sell小台"))</f>
        <v>外資Sell小台</v>
      </c>
      <c r="C27" s="88">
        <f>對照日彙整!Z26</f>
        <v>16318.254016738958</v>
      </c>
      <c r="D27" s="88">
        <f>對照日彙整!X26</f>
        <v>-15203</v>
      </c>
      <c r="F27" s="88">
        <v>12</v>
      </c>
      <c r="G27" s="88" t="str">
        <f t="shared" si="3"/>
        <v/>
      </c>
      <c r="H27" s="88" t="str">
        <f t="shared" si="4"/>
        <v/>
      </c>
      <c r="I27" s="88" t="str">
        <f t="shared" si="5"/>
        <v/>
      </c>
      <c r="J27" s="89"/>
      <c r="K27" s="89"/>
      <c r="L27" s="89"/>
      <c r="M27" s="89"/>
      <c r="N27" s="89"/>
      <c r="O27" s="89"/>
      <c r="P27" s="89"/>
      <c r="Q27" s="89"/>
      <c r="R27" s="89"/>
      <c r="S27" s="89"/>
      <c r="T27" s="89"/>
      <c r="U27" s="89" t="str">
        <f>I27</f>
        <v/>
      </c>
    </row>
    <row r="28" spans="1:21" x14ac:dyDescent="0.4"/>
    <row r="29" spans="1:21" x14ac:dyDescent="0.4">
      <c r="A29" s="86" t="s">
        <v>210</v>
      </c>
      <c r="B29" s="86" t="s">
        <v>211</v>
      </c>
      <c r="C29" s="86" t="s">
        <v>183</v>
      </c>
      <c r="D29" s="86" t="s">
        <v>3</v>
      </c>
      <c r="E29" s="86"/>
      <c r="F29" s="86" t="s">
        <v>212</v>
      </c>
      <c r="G29" s="86" t="s">
        <v>211</v>
      </c>
      <c r="H29" s="86" t="s">
        <v>183</v>
      </c>
      <c r="I29" s="86" t="s">
        <v>3</v>
      </c>
      <c r="J29" s="86" t="s">
        <v>213</v>
      </c>
    </row>
    <row r="30" spans="1:21" x14ac:dyDescent="0.4">
      <c r="A30" s="88">
        <f>IF(ISERROR(RANK(C30,C30:C32,1)+COUNTIF(C30:C30,C30)-1),"",RANK(C30,C30:C32,1)+COUNTIF(C30:C30,C30)-1)</f>
        <v>1</v>
      </c>
      <c r="B30" s="88" t="str">
        <f>IF(D30&lt;0,"自營商Sell電子期","自營商Buy電子期")</f>
        <v>自營商Sell電子期</v>
      </c>
      <c r="C30" s="88">
        <f>對照日彙整!Z18</f>
        <v>767.63461538461536</v>
      </c>
      <c r="D30" s="88">
        <f>對照日彙整!X18</f>
        <v>-153</v>
      </c>
      <c r="F30" s="88">
        <v>1</v>
      </c>
      <c r="G30" s="88" t="str">
        <f>IF(ISERROR(VLOOKUP(F30,A30:D32,2,0)),"",VLOOKUP(F30,A30:D32,2,0))</f>
        <v>自營商Sell電子期</v>
      </c>
      <c r="H30" s="88">
        <f>IF(ISERROR(VLOOKUP(F30,A30:D32,3,0)),"",VLOOKUP(F30,A30:D32,3,0))</f>
        <v>767.63461538461536</v>
      </c>
      <c r="I30" s="88">
        <f>IF(ISERROR(VLOOKUP(F30,A30:D32,4,0)),"",VLOOKUP(F30,A30:D32,4,0))</f>
        <v>-153</v>
      </c>
      <c r="J30" s="88">
        <f>I30</f>
        <v>-153</v>
      </c>
      <c r="K30" s="88"/>
      <c r="L30" s="88"/>
    </row>
    <row r="31" spans="1:21" x14ac:dyDescent="0.4">
      <c r="A31" s="88">
        <f>IF(ISERROR(RANK(C31,C30:C32,1)+COUNTIF(C30:C31,C31)-1),"",RANK(C31,C30:C32,1)+COUNTIF(C30:C31,C31)-1)</f>
        <v>2</v>
      </c>
      <c r="B31" s="88" t="str">
        <f>IF(D31&lt;0,"投信Sell電子期","投信Buy電子期")</f>
        <v>投信Buy電子期</v>
      </c>
      <c r="C31" s="88">
        <f>對照日彙整!Z19</f>
        <v>767.64970059880238</v>
      </c>
      <c r="D31" s="88">
        <f>對照日彙整!X19</f>
        <v>167</v>
      </c>
      <c r="F31" s="88">
        <v>2</v>
      </c>
      <c r="G31" s="88" t="str">
        <f>IF(ISERROR(VLOOKUP(F31,A30:D32,2,0)),"",VLOOKUP(F31,A30:D32,2,0))</f>
        <v>投信Buy電子期</v>
      </c>
      <c r="H31" s="88">
        <f>IF(ISERROR(VLOOKUP(F31,A30:D32,3,0)),"",VLOOKUP(F31,A30:D32,3,0))</f>
        <v>767.64970059880238</v>
      </c>
      <c r="I31" s="88">
        <f>IF(ISERROR(VLOOKUP(F31,A30:D32,4,0)),"",VLOOKUP(F31,A30:D32,4,0))</f>
        <v>167</v>
      </c>
      <c r="J31" s="88"/>
      <c r="K31" s="88">
        <f>I31</f>
        <v>167</v>
      </c>
      <c r="L31" s="88"/>
    </row>
    <row r="32" spans="1:21" x14ac:dyDescent="0.4">
      <c r="A32" s="88">
        <f>IF(ISERROR(RANK(C32,C30:C32,1)+COUNTIF(C30:C32,C32)-1),"",RANK(C32,C30:C32,1)+COUNTIF(C30:C32,C32)-1)</f>
        <v>3</v>
      </c>
      <c r="B32" s="88" t="str">
        <f>IF(D32&lt;0,"外資Sell電子期","外資Buy電子期")</f>
        <v>外資Buy電子期</v>
      </c>
      <c r="C32" s="88">
        <f>對照日彙整!Z20</f>
        <v>767.65005476451256</v>
      </c>
      <c r="D32" s="88">
        <f>對照日彙整!X20</f>
        <v>373</v>
      </c>
      <c r="F32" s="88">
        <v>3</v>
      </c>
      <c r="G32" s="88" t="str">
        <f>IF(ISERROR(VLOOKUP(F32,A30:D32,2,0)),"",VLOOKUP(F32,A30:D32,2,0))</f>
        <v>外資Buy電子期</v>
      </c>
      <c r="H32" s="88">
        <f>IF(ISERROR(VLOOKUP(F32,A30:D32,3,0)),"",VLOOKUP(F32,A30:D32,3,0))</f>
        <v>767.65005476451256</v>
      </c>
      <c r="I32" s="88">
        <f>IF(ISERROR(VLOOKUP(F32,A30:D32,4,0)),"",VLOOKUP(F32,A30:D32,4,0))</f>
        <v>373</v>
      </c>
      <c r="J32" s="88"/>
      <c r="K32" s="88"/>
      <c r="L32" s="88">
        <f>I32</f>
        <v>373</v>
      </c>
    </row>
    <row r="33" spans="1:12" x14ac:dyDescent="0.4">
      <c r="A33" s="88">
        <f>IF(ISERROR(RANK(C33,C33:C35,1)+COUNTIF(C33:C33,C33)-1),"",RANK(C33,C33:C35,1)+COUNTIF(C33:C33,C33)-1)</f>
        <v>1</v>
      </c>
      <c r="B33" s="88" t="str">
        <f>IF(D33&lt;0,"自營商Sell金融期","自營商Buy金融期")</f>
        <v>自營商Buy金融期</v>
      </c>
      <c r="C33" s="88">
        <f>對照日彙整!Z21</f>
        <v>1571.5796812749004</v>
      </c>
      <c r="D33" s="88">
        <f>對照日彙整!X21</f>
        <v>262</v>
      </c>
      <c r="F33" s="88">
        <v>1</v>
      </c>
      <c r="G33" s="88" t="str">
        <f>IF(ISERROR(VLOOKUP(F33,A33:D35,2,0)),"",VLOOKUP(F33,A33:D35,2,0))</f>
        <v>自營商Buy金融期</v>
      </c>
      <c r="H33" s="88">
        <f>IF(ISERROR(VLOOKUP(F33,A33:D35,3,0)),"",VLOOKUP(F33,A33:D35,3,0))</f>
        <v>1571.5796812749004</v>
      </c>
      <c r="I33" s="88">
        <f>IF(ISERROR(VLOOKUP(F33,A33:D35,4,0)),"",VLOOKUP(F33,A33:D35,4,0))</f>
        <v>262</v>
      </c>
      <c r="J33" s="88">
        <f>I33</f>
        <v>262</v>
      </c>
      <c r="K33" s="88"/>
      <c r="L33" s="88"/>
    </row>
    <row r="34" spans="1:12" x14ac:dyDescent="0.4">
      <c r="A34" s="88">
        <f>IF(ISERROR(RANK(C34,C33:C35,1)+COUNTIF(C33:C34,C34)-1),"",RANK(C34,C33:C35,1)+COUNTIF(C33:C34,C34)-1)</f>
        <v>2</v>
      </c>
      <c r="B34" s="88" t="str">
        <f>IF(D34&lt;0,"投信Sell金融期","投信Buy金融期")</f>
        <v>投信Buy金融期</v>
      </c>
      <c r="C34" s="88">
        <f>對照日彙整!Z22</f>
        <v>1571.5833333333333</v>
      </c>
      <c r="D34" s="88">
        <f>對照日彙整!X22</f>
        <v>24</v>
      </c>
      <c r="F34" s="88">
        <v>2</v>
      </c>
      <c r="G34" s="88" t="str">
        <f>IF(ISERROR(VLOOKUP(F34,A33:D35,2,0)),"",VLOOKUP(F34,A33:D35,2,0))</f>
        <v>投信Buy金融期</v>
      </c>
      <c r="H34" s="88">
        <f>IF(ISERROR(VLOOKUP(F34,A33:D35,3,0)),"",VLOOKUP(F34,A33:D35,3,0))</f>
        <v>1571.5833333333333</v>
      </c>
      <c r="I34" s="88">
        <f>IF(ISERROR(VLOOKUP(F34,A33:D35,4,0)),"",VLOOKUP(F34,A33:D35,4,0))</f>
        <v>24</v>
      </c>
      <c r="J34" s="88"/>
      <c r="K34" s="88">
        <f>I34</f>
        <v>24</v>
      </c>
      <c r="L34" s="88"/>
    </row>
    <row r="35" spans="1:12" x14ac:dyDescent="0.4">
      <c r="A35" s="88">
        <f>IF(ISERROR(RANK(C35,C33:C35,1)+COUNTIF(C33:C35,C35)-1),"",RANK(C35,C33:C35,1)+COUNTIF(C33:C35,C35)-1)</f>
        <v>3</v>
      </c>
      <c r="B35" s="88" t="str">
        <f>IF(D35&lt;0,"外資Sell金融期","外資Buy金融期")</f>
        <v>外資Sell金融期</v>
      </c>
      <c r="C35" s="88">
        <f>對照日彙整!Z23</f>
        <v>1571.5998189225893</v>
      </c>
      <c r="D35" s="88">
        <f>對照日彙整!X23</f>
        <v>-1674</v>
      </c>
      <c r="F35" s="88">
        <v>3</v>
      </c>
      <c r="G35" s="88" t="str">
        <f>IF(ISERROR(VLOOKUP(F35,A33:D35,2,0)),"",VLOOKUP(F35,A33:D35,2,0))</f>
        <v>外資Sell金融期</v>
      </c>
      <c r="H35" s="88">
        <f>IF(ISERROR(VLOOKUP(F35,A33:D35,3,0)),"",VLOOKUP(F35,A33:D35,3,0))</f>
        <v>1571.5998189225893</v>
      </c>
      <c r="I35" s="88">
        <f>IF(ISERROR(VLOOKUP(F35,A33:D35,4,0)),"",VLOOKUP(F35,A33:D35,4,0))</f>
        <v>-1674</v>
      </c>
      <c r="J35" s="88"/>
      <c r="K35" s="88"/>
      <c r="L35" s="88">
        <f>I35</f>
        <v>-1674</v>
      </c>
    </row>
    <row r="36" spans="1:12" x14ac:dyDescent="0.4">
      <c r="A36" s="88">
        <f>IF(ISERROR(RANK(C36,C36:C38,1)+COUNTIF(C36:C36,C36)-1),"",RANK(C36,C36:C38,1)+COUNTIF(C36:C36,C36)-1)</f>
        <v>2</v>
      </c>
      <c r="B36" s="88" t="str">
        <f>IF(D36&lt;0,"自營商Sell台灣50期","自營商Buy台灣50期")</f>
        <v>自營商Buy台灣50期</v>
      </c>
      <c r="C36" s="88">
        <f>對照日彙整!Z27</f>
        <v>7676.5079365079364</v>
      </c>
      <c r="D36" s="88">
        <f>對照日彙整!X27</f>
        <v>70</v>
      </c>
      <c r="F36" s="88">
        <v>1</v>
      </c>
      <c r="G36" s="88" t="str">
        <f>IF(ISERROR(VLOOKUP(F36,A36:D38,2,0)),"",VLOOKUP(F36,A36:D38,2,0))</f>
        <v>外資Buy台灣50期</v>
      </c>
      <c r="H36" s="88">
        <f>IF(ISERROR(VLOOKUP(F36,A36:D38,3,0)),"",VLOOKUP(F36,A36:D38,3,0))</f>
        <v>7676.4583333333339</v>
      </c>
      <c r="I36" s="88">
        <f>IF(ISERROR(VLOOKUP(F36,A36:D38,4,0)),"",VLOOKUP(F36,A36:D38,4,0))</f>
        <v>24</v>
      </c>
      <c r="J36" s="88">
        <f>I36</f>
        <v>24</v>
      </c>
      <c r="K36" s="88"/>
      <c r="L36" s="88"/>
    </row>
    <row r="37" spans="1:12" x14ac:dyDescent="0.4">
      <c r="A37" s="88" t="str">
        <f>IF(ISERROR(RANK(C37,C36:C38,1)+COUNTIF(C36:C37,C37)-1),"",RANK(C37,C36:C38,1)+COUNTIF(C36:C37,C37)-1)</f>
        <v/>
      </c>
      <c r="B37" s="88" t="str">
        <f>IF(D37&lt;0,"投信Sell台灣50期","投信Buy台灣50期")</f>
        <v>投信Buy台灣50期</v>
      </c>
      <c r="C37" s="88" t="str">
        <f>對照日彙整!Z28</f>
        <v/>
      </c>
      <c r="D37" s="88">
        <f>對照日彙整!X28</f>
        <v>0</v>
      </c>
      <c r="F37" s="88">
        <v>2</v>
      </c>
      <c r="G37" s="88" t="str">
        <f>IF(ISERROR(VLOOKUP(F37,A36:D38,2,0)),"",VLOOKUP(F37,A36:D38,2,0))</f>
        <v>自營商Buy台灣50期</v>
      </c>
      <c r="H37" s="88">
        <f>IF(ISERROR(VLOOKUP(F37,A36:D38,3,0)),"",VLOOKUP(F37,A36:D38,3,0))</f>
        <v>7676.5079365079364</v>
      </c>
      <c r="I37" s="88">
        <f>IF(ISERROR(VLOOKUP(F37,A36:D38,4,0)),"",VLOOKUP(F37,A36:D38,4,0))</f>
        <v>70</v>
      </c>
      <c r="J37" s="88"/>
      <c r="K37" s="88">
        <f>I37</f>
        <v>70</v>
      </c>
      <c r="L37" s="88"/>
    </row>
    <row r="38" spans="1:12" x14ac:dyDescent="0.4">
      <c r="A38" s="88">
        <f>IF(ISERROR(RANK(C38,C36:C38,1)+COUNTIF(C36:C38,C38)-1),"",RANK(C38,C36:C38,1)+COUNTIF(C36:C38,C38)-1)</f>
        <v>1</v>
      </c>
      <c r="B38" s="88" t="str">
        <f>IF(D38&lt;0,"外資Sell台灣50期","外資Buy台灣50期")</f>
        <v>外資Buy台灣50期</v>
      </c>
      <c r="C38" s="88">
        <f>對照日彙整!Z29</f>
        <v>7676.4583333333339</v>
      </c>
      <c r="D38" s="88">
        <f>對照日彙整!X29</f>
        <v>24</v>
      </c>
      <c r="F38" s="88">
        <v>3</v>
      </c>
      <c r="G38" s="88" t="str">
        <f>IF(ISERROR(VLOOKUP(F38,A36:D38,2,0)),"",VLOOKUP(F38,A36:D38,2,0))</f>
        <v/>
      </c>
      <c r="H38" s="88" t="str">
        <f>IF(ISERROR(VLOOKUP(F38,A36:D38,3,0)),"",VLOOKUP(F38,A36:D38,3,0))</f>
        <v/>
      </c>
      <c r="I38" s="88" t="str">
        <f>IF(ISERROR(VLOOKUP(F38,A36:D38,4,0)),"",VLOOKUP(F38,A36:D38,4,0))</f>
        <v/>
      </c>
      <c r="J38" s="88"/>
      <c r="K38" s="88"/>
      <c r="L38" s="88" t="str">
        <f>I38</f>
        <v/>
      </c>
    </row>
    <row r="39" spans="1:12" x14ac:dyDescent="0.4">
      <c r="A39" s="88">
        <f>IF(ISERROR(RANK(C39,C39:C41,1)+COUNTIF(C39:C39,C39)-1),"",RANK(C39,C39:C41,1)+COUNTIF(C39:C39,C39)-1)</f>
        <v>1</v>
      </c>
      <c r="B39" s="88" t="str">
        <f>IF(D39&lt;0,"自營商Sell股票期貨","自營商Buy股票期貨")</f>
        <v>自營商Sell股票期貨</v>
      </c>
      <c r="C39" s="88">
        <f>對照日彙整!Z30</f>
        <v>646.7538461538461</v>
      </c>
      <c r="D39" s="88">
        <f>對照日彙整!X30</f>
        <v>-34</v>
      </c>
      <c r="F39" s="88">
        <v>1</v>
      </c>
      <c r="G39" s="88" t="str">
        <f>IF(ISERROR(VLOOKUP(F39,A39:D41,2,0)),"",VLOOKUP(F39,A39:D41,2,0))</f>
        <v>自營商Sell股票期貨</v>
      </c>
      <c r="H39" s="88">
        <f>IF(ISERROR(VLOOKUP(F39,A39:D41,3,0)),"",VLOOKUP(F39,A39:D41,3,0))</f>
        <v>646.7538461538461</v>
      </c>
      <c r="I39" s="88">
        <f>IF(ISERROR(VLOOKUP(F39,A39:D41,4,0)),"",VLOOKUP(F39,A39:D41,4,0))</f>
        <v>-34</v>
      </c>
      <c r="J39" s="88">
        <f>I39</f>
        <v>-34</v>
      </c>
      <c r="K39" s="88"/>
      <c r="L39" s="88"/>
    </row>
    <row r="40" spans="1:12" x14ac:dyDescent="0.4">
      <c r="A40" s="88" t="str">
        <f>IF(ISERROR(RANK(C40,C39:C41,1)+COUNTIF(C39:C40,C40)-1),"",RANK(C40,C39:C41,1)+COUNTIF(C39:C40,C40)-1)</f>
        <v/>
      </c>
      <c r="B40" s="88" t="str">
        <f>IF(D40&lt;0,"投信Sell股票期貨","投信Buy股票期貨")</f>
        <v>投信Buy股票期貨</v>
      </c>
      <c r="C40" s="88" t="str">
        <f>對照日彙整!Z31</f>
        <v/>
      </c>
      <c r="D40" s="88">
        <f>對照日彙整!X31</f>
        <v>0</v>
      </c>
      <c r="F40" s="88">
        <v>2</v>
      </c>
      <c r="G40" s="88" t="str">
        <f>IF(ISERROR(VLOOKUP(F40,A39:D41,2,0)),"",VLOOKUP(F40,A39:D41,2,0))</f>
        <v/>
      </c>
      <c r="H40" s="88" t="str">
        <f>IF(ISERROR(VLOOKUP(F40,A39:D41,3,0)),"",VLOOKUP(F40,A39:D41,3,0))</f>
        <v/>
      </c>
      <c r="I40" s="88" t="str">
        <f>IF(ISERROR(VLOOKUP(F40,A39:D41,4,0)),"",VLOOKUP(F40,A39:D41,4,0))</f>
        <v/>
      </c>
      <c r="J40" s="88"/>
      <c r="K40" s="88" t="str">
        <f>I40</f>
        <v/>
      </c>
      <c r="L40" s="88"/>
    </row>
    <row r="41" spans="1:12" x14ac:dyDescent="0.4">
      <c r="A41" s="88" t="str">
        <f>IF(ISERROR(RANK(C41,C39:C41,1)+COUNTIF(C39:C41,C41)-1),"",RANK(C41,C39:C41,1)+COUNTIF(C39:C41,C41)-1)</f>
        <v/>
      </c>
      <c r="B41" s="88" t="str">
        <f>IF(D41&lt;0,"外資Sell股票期貨","外資Buy股票期貨")</f>
        <v>外資Buy股票期貨</v>
      </c>
      <c r="C41" s="88" t="str">
        <f>對照日彙整!Z32</f>
        <v/>
      </c>
      <c r="D41" s="88">
        <f>對照日彙整!X32</f>
        <v>0</v>
      </c>
      <c r="F41" s="88">
        <v>3</v>
      </c>
      <c r="G41" s="88" t="str">
        <f>IF(ISERROR(VLOOKUP(F41,A39:D41,2,0)),"",VLOOKUP(F41,A39:D41,2,0))</f>
        <v/>
      </c>
      <c r="H41" s="88" t="str">
        <f>IF(ISERROR(VLOOKUP(F41,A39:D41,3,0)),"",VLOOKUP(F41,A39:D41,3,0))</f>
        <v/>
      </c>
      <c r="I41" s="88" t="str">
        <f>IF(ISERROR(VLOOKUP(F41,A39:D41,4,0)),"",VLOOKUP(F41,A39:D41,4,0))</f>
        <v/>
      </c>
      <c r="J41" s="88"/>
      <c r="K41" s="88"/>
      <c r="L41" s="88" t="str">
        <f>I41</f>
        <v/>
      </c>
    </row>
    <row r="42" spans="1:12" x14ac:dyDescent="0.4">
      <c r="A42" s="88">
        <f>IF(ISERROR(RANK(C42,C42:C44,1)+COUNTIF(C42:C42,C42)-1),"",RANK(C42,C42:C44,1)+COUNTIF(C42:C42,C42)-1)</f>
        <v>1</v>
      </c>
      <c r="B42" s="88" t="str">
        <f>IF(D42&lt;0,"自營商Sell ETF期貨","自營商Buy ETF期貨")</f>
        <v>自營商Buy ETF期貨</v>
      </c>
      <c r="C42" s="88">
        <f>對照日彙整!Z33</f>
        <v>214.51524159822642</v>
      </c>
      <c r="D42" s="88">
        <f>對照日彙整!X33</f>
        <v>21192</v>
      </c>
      <c r="F42" s="88">
        <v>1</v>
      </c>
      <c r="G42" s="88" t="str">
        <f>IF(ISERROR(VLOOKUP(F42,A42:D44,2,0)),"",VLOOKUP(F42,A42:D44,2,0))</f>
        <v>自營商Buy ETF期貨</v>
      </c>
      <c r="H42" s="88">
        <f>IF(ISERROR(VLOOKUP(F42,A42:D44,3,0)),"",VLOOKUP(F42,A42:D44,3,0))</f>
        <v>214.51524159822642</v>
      </c>
      <c r="I42" s="88">
        <f>IF(ISERROR(VLOOKUP(F42,A42:D44,4,0)),"",VLOOKUP(F42,A42:D44,4,0))</f>
        <v>21192</v>
      </c>
      <c r="J42" s="88">
        <f>I42</f>
        <v>21192</v>
      </c>
      <c r="K42" s="88"/>
      <c r="L42" s="88"/>
    </row>
    <row r="43" spans="1:12" x14ac:dyDescent="0.4">
      <c r="A43" s="88" t="str">
        <f>IF(ISERROR(RANK(C43,C42:C44,1)+COUNTIF(C42:C43,C43)-1),"",RANK(C43,C42:C44,1)+COUNTIF(C42:C43,C43)-1)</f>
        <v/>
      </c>
      <c r="B43" s="88" t="str">
        <f>IF(D43&lt;0,"投信Sell ETF期貨","投信Buy ETF期貨")</f>
        <v>投信Buy ETF期貨</v>
      </c>
      <c r="C43" s="88" t="str">
        <f>對照日彙整!Z34</f>
        <v/>
      </c>
      <c r="D43" s="88">
        <f>對照日彙整!X34</f>
        <v>0</v>
      </c>
      <c r="F43" s="88">
        <v>2</v>
      </c>
      <c r="G43" s="88" t="str">
        <f>IF(ISERROR(VLOOKUP(F43,A42:D44,2,0)),"",VLOOKUP(F43,A42:D44,2,0))</f>
        <v>外資Sell ETF期貨</v>
      </c>
      <c r="H43" s="88">
        <f>IF(ISERROR(VLOOKUP(F43,A42:D44,3,0)),"",VLOOKUP(F43,A42:D44,3,0))</f>
        <v>259.38877937378044</v>
      </c>
      <c r="I43" s="88">
        <f>IF(ISERROR(VLOOKUP(F43,A42:D44,4,0)),"",VLOOKUP(F43,A42:D44,4,0))</f>
        <v>-220131</v>
      </c>
      <c r="J43" s="88"/>
      <c r="K43" s="88">
        <f>I43</f>
        <v>-220131</v>
      </c>
      <c r="L43" s="88"/>
    </row>
    <row r="44" spans="1:12" x14ac:dyDescent="0.4">
      <c r="A44" s="88">
        <f>IF(ISERROR(RANK(C44,C42:C44,1)+COUNTIF(C42:C44,C44)-1),"",RANK(C44,C42:C44,1)+COUNTIF(C42:C44,C44)-1)</f>
        <v>2</v>
      </c>
      <c r="B44" s="88" t="str">
        <f>IF(D44&lt;0,"外資Sell ETF期貨","外資Buy ETF期貨")</f>
        <v>外資Sell ETF期貨</v>
      </c>
      <c r="C44" s="88">
        <f>對照日彙整!Z35</f>
        <v>259.38877937378044</v>
      </c>
      <c r="D44" s="88">
        <f>對照日彙整!X35</f>
        <v>-220131</v>
      </c>
      <c r="F44" s="88">
        <v>3</v>
      </c>
      <c r="G44" s="88" t="str">
        <f>IF(ISERROR(VLOOKUP(F44,A42:D44,2,0)),"",VLOOKUP(F44,A42:D44,2,0))</f>
        <v/>
      </c>
      <c r="H44" s="88" t="str">
        <f>IF(ISERROR(VLOOKUP(F44,A42:D44,3,0)),"",VLOOKUP(F44,A42:D44,3,0))</f>
        <v/>
      </c>
      <c r="I44" s="88" t="str">
        <f>IF(ISERROR(VLOOKUP(F44,A42:D44,4,0)),"",VLOOKUP(F44,A42:D44,4,0))</f>
        <v/>
      </c>
      <c r="J44" s="88"/>
      <c r="K44" s="88"/>
      <c r="L44" s="88" t="str">
        <f>I44</f>
        <v/>
      </c>
    </row>
    <row r="45" spans="1:12" x14ac:dyDescent="0.4">
      <c r="A45" s="88">
        <f>IF(ISERROR(RANK(C45,C45:C47,1)+COUNTIF(C45:C45,C45)-1),"",RANK(C45,C45:C47,1)+COUNTIF(C45:C45,C45)-1)</f>
        <v>1</v>
      </c>
      <c r="B45" s="88" t="str">
        <f>IF(D45&lt;0,"自營商Sell櫃買指數期貨","自營商Buy櫃買指數期貨")</f>
        <v>自營商Sell櫃買指數期貨</v>
      </c>
      <c r="C45" s="88">
        <f>對照日彙整!Z36</f>
        <v>130.53312561495574</v>
      </c>
      <c r="D45" s="88">
        <f>對照日彙整!X36</f>
        <v>-683</v>
      </c>
      <c r="F45" s="88">
        <v>1</v>
      </c>
      <c r="G45" s="88" t="str">
        <f>IF(ISERROR(VLOOKUP(F45,A45:D47,2,0)),"",VLOOKUP(F45,A45:D47,2,0))</f>
        <v>自營商Sell櫃買指數期貨</v>
      </c>
      <c r="H45" s="88">
        <f>IF(ISERROR(VLOOKUP(F45,A45:D47,3,0)),"",VLOOKUP(F45,A45:D47,3,0))</f>
        <v>130.53312561495574</v>
      </c>
      <c r="I45" s="88">
        <f>IF(ISERROR(VLOOKUP(F45,A45:D47,4,0)),"",VLOOKUP(F45,A45:D47,4,0))</f>
        <v>-683</v>
      </c>
      <c r="J45" s="88">
        <f>I45</f>
        <v>-683</v>
      </c>
      <c r="K45" s="88"/>
      <c r="L45" s="88"/>
    </row>
    <row r="46" spans="1:12" x14ac:dyDescent="0.4">
      <c r="A46" s="88">
        <f>IF(ISERROR(RANK(C46,C45:C47,1)+COUNTIF(C45:C46,C46)-1),"",RANK(C46,C45:C47,1)+COUNTIF(C45:C46,C46)-1)</f>
        <v>2</v>
      </c>
      <c r="B46" s="88" t="str">
        <f>IF(D46&lt;0,"投信Sell櫃買指數期貨","投信Buy櫃買指數期貨")</f>
        <v>投信Buy櫃買指數期貨</v>
      </c>
      <c r="C46" s="88">
        <f>對照日彙整!Z37</f>
        <v>244.65220233306516</v>
      </c>
      <c r="D46" s="88">
        <f>對照日彙整!X37</f>
        <v>1180</v>
      </c>
      <c r="F46" s="88">
        <v>2</v>
      </c>
      <c r="G46" s="88" t="str">
        <f>IF(ISERROR(VLOOKUP(F46,A45:D47,2,0)),"",VLOOKUP(F46,A45:D47,2,0))</f>
        <v>投信Buy櫃買指數期貨</v>
      </c>
      <c r="H46" s="88">
        <f>IF(ISERROR(VLOOKUP(F46,A45:D47,3,0)),"",VLOOKUP(F46,A45:D47,3,0))</f>
        <v>244.65220233306516</v>
      </c>
      <c r="I46" s="88">
        <f>IF(ISERROR(VLOOKUP(F46,A45:D47,4,0)),"",VLOOKUP(F46,A45:D47,4,0))</f>
        <v>1180</v>
      </c>
      <c r="J46" s="88"/>
      <c r="K46" s="88">
        <f>I46</f>
        <v>1180</v>
      </c>
      <c r="L46" s="88"/>
    </row>
    <row r="47" spans="1:12" x14ac:dyDescent="0.4">
      <c r="A47" s="88">
        <f>IF(ISERROR(RANK(C47,C45:C47,1)+COUNTIF(C45:C47,C47)-1),"",RANK(C47,C45:C47,1)+COUNTIF(C45:C47,C47)-1)</f>
        <v>3</v>
      </c>
      <c r="B47" s="88" t="str">
        <f>IF(D47&lt;0,"外資Sell櫃買指數期貨","外資Buy櫃買指數期貨")</f>
        <v>外資Sell櫃買指數期貨</v>
      </c>
      <c r="C47" s="88">
        <f>對照日彙整!Z38</f>
        <v>291.76164549304292</v>
      </c>
      <c r="D47" s="88">
        <f>對照日彙整!X38</f>
        <v>-1743</v>
      </c>
      <c r="F47" s="88">
        <v>3</v>
      </c>
      <c r="G47" s="88" t="str">
        <f>IF(ISERROR(VLOOKUP(F47,A45:D47,2,0)),"",VLOOKUP(F47,A45:D47,2,0))</f>
        <v>外資Sell櫃買指數期貨</v>
      </c>
      <c r="H47" s="88">
        <f>IF(ISERROR(VLOOKUP(F47,A45:D47,3,0)),"",VLOOKUP(F47,A45:D47,3,0))</f>
        <v>291.76164549304292</v>
      </c>
      <c r="I47" s="88">
        <f>IF(ISERROR(VLOOKUP(F47,A45:D47,4,0)),"",VLOOKUP(F47,A45:D47,4,0))</f>
        <v>-1743</v>
      </c>
      <c r="J47" s="88"/>
      <c r="K47" s="88"/>
      <c r="L47" s="88">
        <f>I47</f>
        <v>-1743</v>
      </c>
    </row>
    <row r="48" spans="1:12" x14ac:dyDescent="0.4">
      <c r="A48" s="88">
        <f>IF(ISERROR(RANK(C48,C48:C50,1)+COUNTIF(C48:C48,C48)-1),"",RANK(C48,C48:C50,1)+COUNTIF(C48:C48,C48)-1)</f>
        <v>1</v>
      </c>
      <c r="B48" s="88" t="str">
        <f>IF(D48&lt;0,"自營商Sell非金電期貨","自營商Buy非金電期貨")</f>
        <v>自營商Sell非金電期貨</v>
      </c>
      <c r="C48" s="88">
        <f>對照日彙整!Z39</f>
        <v>7879.5</v>
      </c>
      <c r="D48" s="88">
        <f>對照日彙整!X39</f>
        <v>-72</v>
      </c>
      <c r="F48" s="88">
        <v>1</v>
      </c>
      <c r="G48" s="88" t="str">
        <f>IF(ISERROR(VLOOKUP(F48,A48:D50,2,0)),"",VLOOKUP(F48,A48:D50,2,0))</f>
        <v>自營商Sell非金電期貨</v>
      </c>
      <c r="H48" s="88">
        <f>IF(ISERROR(VLOOKUP(F48,A48:D50,3,0)),"",VLOOKUP(F48,A48:D50,3,0))</f>
        <v>7879.5</v>
      </c>
      <c r="I48" s="88">
        <f>IF(ISERROR(VLOOKUP(F48,A48:D50,4,0)),"",VLOOKUP(F48,A48:D50,4,0))</f>
        <v>-72</v>
      </c>
      <c r="J48" s="88">
        <f>I48</f>
        <v>-72</v>
      </c>
      <c r="K48" s="88"/>
      <c r="L48" s="88"/>
    </row>
    <row r="49" spans="1:12" x14ac:dyDescent="0.4">
      <c r="A49" s="88" t="str">
        <f>IF(ISERROR(RANK(C49,C48:C50,1)+COUNTIF(C48:C49,C49)-1),"",RANK(C49,C48:C50,1)+COUNTIF(C48:C49,C49)-1)</f>
        <v/>
      </c>
      <c r="B49" s="88" t="str">
        <f>IF(D49&lt;0,"投信Sell非金電期貨","投信Buy非金電期貨")</f>
        <v>投信Buy非金電期貨</v>
      </c>
      <c r="C49" s="88" t="str">
        <f>對照日彙整!Z40</f>
        <v/>
      </c>
      <c r="D49" s="88">
        <f>對照日彙整!X40</f>
        <v>0</v>
      </c>
      <c r="F49" s="88">
        <v>2</v>
      </c>
      <c r="G49" s="88" t="str">
        <f>IF(ISERROR(VLOOKUP(F49,A48:D50,2,0)),"",VLOOKUP(F49,A48:D50,2,0))</f>
        <v/>
      </c>
      <c r="H49" s="88" t="str">
        <f>IF(ISERROR(VLOOKUP(F49,A48:D50,3,0)),"",VLOOKUP(F49,A48:D50,3,0))</f>
        <v/>
      </c>
      <c r="I49" s="88" t="str">
        <f>IF(ISERROR(VLOOKUP(F49,A48:D50,4,0)),"",VLOOKUP(F49,A48:D50,4,0))</f>
        <v/>
      </c>
      <c r="J49" s="88"/>
      <c r="K49" s="88" t="str">
        <f>I49</f>
        <v/>
      </c>
      <c r="L49" s="88"/>
    </row>
    <row r="50" spans="1:12" x14ac:dyDescent="0.4">
      <c r="A50" s="88" t="str">
        <f>IF(ISERROR(RANK(C50,C48:C50,1)+COUNTIF(C48:C50,C50)-1),"",RANK(C50,C48:C50,1)+COUNTIF(C48:C50,C50)-1)</f>
        <v/>
      </c>
      <c r="B50" s="88" t="str">
        <f>IF(D50&lt;0,"外資Sell非金電期貨","外資Buy非金電期貨")</f>
        <v>外資Buy非金電期貨</v>
      </c>
      <c r="C50" s="88" t="str">
        <f>對照日彙整!Z41</f>
        <v/>
      </c>
      <c r="D50" s="88">
        <f>對照日彙整!X41</f>
        <v>0</v>
      </c>
      <c r="F50" s="88">
        <v>3</v>
      </c>
      <c r="G50" s="88" t="str">
        <f>IF(ISERROR(VLOOKUP(F50,A48:D50,2,0)),"",VLOOKUP(F50,A48:D50,2,0))</f>
        <v/>
      </c>
      <c r="H50" s="88" t="str">
        <f>IF(ISERROR(VLOOKUP(F50,A48:D50,3,0)),"",VLOOKUP(F50,A48:D50,3,0))</f>
        <v/>
      </c>
      <c r="I50" s="88" t="str">
        <f>IF(ISERROR(VLOOKUP(F50,A48:D50,4,0)),"",VLOOKUP(F50,A48:D50,4,0))</f>
        <v/>
      </c>
      <c r="J50" s="88"/>
      <c r="K50" s="88"/>
      <c r="L50" s="88" t="str">
        <f>I50</f>
        <v/>
      </c>
    </row>
    <row r="51" spans="1:12" x14ac:dyDescent="0.4">
      <c r="A51" s="88">
        <f>IF(ISERROR(RANK(C51,C51:C53,1)+COUNTIF(C51:C51,C51)-1),"",RANK(C51,C51:C53,1)+COUNTIF(C51:C51,C51)-1)</f>
        <v>1</v>
      </c>
      <c r="B51" s="88" t="str">
        <f>IF(D51&lt;0,"自營商Sell富櫃200期貨","自營商Buy富櫃200期貨")</f>
        <v>自營商Buy富櫃200期貨</v>
      </c>
      <c r="C51" s="88">
        <f>對照日彙整!Z42</f>
        <v>31899.310344827583</v>
      </c>
      <c r="D51" s="88">
        <f>對照日彙整!X42</f>
        <v>169</v>
      </c>
      <c r="F51" s="88">
        <v>1</v>
      </c>
      <c r="G51" s="88" t="str">
        <f>IF(ISERROR(VLOOKUP(F51,A51:D53,2,0)),"",VLOOKUP(F51,A51:D53,2,0))</f>
        <v>自營商Buy富櫃200期貨</v>
      </c>
      <c r="H51" s="88">
        <f>IF(ISERROR(VLOOKUP(F51,A51:D53,3,0)),"",VLOOKUP(F51,A51:D53,3,0))</f>
        <v>31899.310344827583</v>
      </c>
      <c r="I51" s="88">
        <f>IF(ISERROR(VLOOKUP(F51,A51:D53,4,0)),"",VLOOKUP(F51,A51:D53,4,0))</f>
        <v>169</v>
      </c>
      <c r="J51" s="88">
        <f>I51</f>
        <v>169</v>
      </c>
      <c r="K51" s="88"/>
      <c r="L51" s="88"/>
    </row>
    <row r="52" spans="1:12" x14ac:dyDescent="0.4">
      <c r="A52" s="88">
        <f>IF(ISERROR(RANK(C52,C51:C53,1)+COUNTIF(C51:C52,C52)-1),"",RANK(C52,C51:C53,1)+COUNTIF(C51:C52,C52)-1)</f>
        <v>2</v>
      </c>
      <c r="B52" s="88" t="str">
        <f>IF(D52&lt;0,"投信Sell台富櫃200期貨","投信Buy富櫃200期貨")</f>
        <v>投信Buy富櫃200期貨</v>
      </c>
      <c r="C52" s="88">
        <f>對照日彙整!Z43</f>
        <v>31900</v>
      </c>
      <c r="D52" s="88">
        <f>對照日彙整!X43</f>
        <v>2</v>
      </c>
      <c r="F52" s="88">
        <v>2</v>
      </c>
      <c r="G52" s="88" t="str">
        <f>IF(ISERROR(VLOOKUP(F52,A51:D53,2,0)),"",VLOOKUP(F52,A51:D53,2,0))</f>
        <v>投信Buy富櫃200期貨</v>
      </c>
      <c r="H52" s="88">
        <f>IF(ISERROR(VLOOKUP(F52,A51:D53,3,0)),"",VLOOKUP(F52,A51:D53,3,0))</f>
        <v>31900</v>
      </c>
      <c r="I52" s="88">
        <f>IF(ISERROR(VLOOKUP(F52,A51:D53,4,0)),"",VLOOKUP(F52,A51:D53,4,0))</f>
        <v>2</v>
      </c>
      <c r="J52" s="88"/>
      <c r="K52" s="88">
        <f>I52</f>
        <v>2</v>
      </c>
      <c r="L52" s="88"/>
    </row>
    <row r="53" spans="1:12" x14ac:dyDescent="0.4">
      <c r="A53" s="88">
        <f>IF(ISERROR(RANK(C53,C51:C53,1)+COUNTIF(C51:C53,C53)-1),"",RANK(C53,C51:C53,1)+COUNTIF(C51:C53,C53)-1)</f>
        <v>3</v>
      </c>
      <c r="B53" s="88" t="str">
        <f>IF(D53&lt;0,"外資Sell富櫃200期貨","外資Buy富櫃200期貨")</f>
        <v>外資Sell富櫃200期貨</v>
      </c>
      <c r="C53" s="88">
        <f>對照日彙整!Z44</f>
        <v>31900</v>
      </c>
      <c r="D53" s="88">
        <f>對照日彙整!X44</f>
        <v>-207</v>
      </c>
      <c r="F53" s="88">
        <v>3</v>
      </c>
      <c r="G53" s="88" t="str">
        <f>IF(ISERROR(VLOOKUP(F53,A51:D53,2,0)),"",VLOOKUP(F53,A51:D53,2,0))</f>
        <v>外資Sell富櫃200期貨</v>
      </c>
      <c r="H53" s="88">
        <f>IF(ISERROR(VLOOKUP(F53,A51:D53,3,0)),"",VLOOKUP(F53,A51:D53,3,0))</f>
        <v>31900</v>
      </c>
      <c r="I53" s="88">
        <f>IF(ISERROR(VLOOKUP(F53,A51:D53,4,0)),"",VLOOKUP(F53,A51:D53,4,0))</f>
        <v>-207</v>
      </c>
      <c r="J53" s="88"/>
      <c r="K53" s="88"/>
      <c r="L53" s="88">
        <f>I53</f>
        <v>-207</v>
      </c>
    </row>
    <row r="54" spans="1:12" x14ac:dyDescent="0.4">
      <c r="A54" s="88">
        <f>IF(ISERROR(RANK(C54,C54:C56,1)+COUNTIF(C54:C54,C54)-1),"",RANK(C54,C54:C56,1)+COUNTIF(C54:C54,C54)-1)</f>
        <v>1</v>
      </c>
      <c r="B54" s="88" t="str">
        <f>IF(D54&lt;0,"自營商Sell臺灣永續期貨","自營商Buy臺灣永續期貨")</f>
        <v>自營商Sell臺灣永續期貨</v>
      </c>
      <c r="C54" s="88">
        <f>對照日彙整!Z45</f>
        <v>4165.636363636364</v>
      </c>
      <c r="D54" s="88">
        <f>對照日彙整!X45</f>
        <v>-3</v>
      </c>
      <c r="F54" s="88">
        <v>1</v>
      </c>
      <c r="G54" s="88" t="str">
        <f>IF(ISERROR(VLOOKUP(F54,A54:D56,2,0)),"",VLOOKUP(F54,A54:D56,2,0))</f>
        <v>自營商Sell臺灣永續期貨</v>
      </c>
      <c r="H54" s="88">
        <f>IF(ISERROR(VLOOKUP(F54,A54:D56,3,0)),"",VLOOKUP(F54,A54:D56,3,0))</f>
        <v>4165.636363636364</v>
      </c>
      <c r="I54" s="88">
        <f>IF(ISERROR(VLOOKUP(F54,A54:D56,4,0)),"",VLOOKUP(F54,A54:D56,4,0))</f>
        <v>-3</v>
      </c>
      <c r="J54" s="88">
        <f>I54</f>
        <v>-3</v>
      </c>
      <c r="K54" s="88"/>
      <c r="L54" s="88"/>
    </row>
    <row r="55" spans="1:12" x14ac:dyDescent="0.4">
      <c r="A55" s="88">
        <f>IF(ISERROR(RANK(C55,C54:C56,1)+COUNTIF(C54:C55,C55)-1),"",RANK(C55,C54:C56,1)+COUNTIF(C54:C55,C55)-1)</f>
        <v>3</v>
      </c>
      <c r="B55" s="88" t="str">
        <f>IF(D55&lt;0,"投信Sell臺灣永續期貨","投信Buy臺灣永續期貨")</f>
        <v>投信Buy臺灣永續期貨</v>
      </c>
      <c r="C55" s="88">
        <f>對照日彙整!Z46</f>
        <v>4169.666666666667</v>
      </c>
      <c r="D55" s="88">
        <f>對照日彙整!X46</f>
        <v>30</v>
      </c>
      <c r="F55" s="88">
        <v>2</v>
      </c>
      <c r="G55" s="88" t="str">
        <f>IF(ISERROR(VLOOKUP(F55,A54:D56,2,0)),"",VLOOKUP(F55,A54:D56,2,0))</f>
        <v>外資Sell臺灣永續期貨</v>
      </c>
      <c r="H55" s="88">
        <f>IF(ISERROR(VLOOKUP(F55,A54:D56,3,0)),"",VLOOKUP(F55,A54:D56,3,0))</f>
        <v>4169.5121951219508</v>
      </c>
      <c r="I55" s="88">
        <f>IF(ISERROR(VLOOKUP(F55,A54:D56,4,0)),"",VLOOKUP(F55,A54:D56,4,0))</f>
        <v>-41</v>
      </c>
      <c r="J55" s="88"/>
      <c r="K55" s="88">
        <f>I55</f>
        <v>-41</v>
      </c>
      <c r="L55" s="88"/>
    </row>
    <row r="56" spans="1:12" x14ac:dyDescent="0.4">
      <c r="A56" s="88">
        <f>IF(ISERROR(RANK(C56,C54:C56,1)+COUNTIF(C54:C56,C56)-1),"",RANK(C56,C54:C56,1)+COUNTIF(C54:C56,C56)-1)</f>
        <v>2</v>
      </c>
      <c r="B56" s="88" t="str">
        <f>IF(D56&lt;0,"外資Sell臺灣永續期貨","外資Buy臺灣永續期貨")</f>
        <v>外資Sell臺灣永續期貨</v>
      </c>
      <c r="C56" s="88">
        <f>對照日彙整!Z47</f>
        <v>4169.5121951219508</v>
      </c>
      <c r="D56" s="88">
        <f>對照日彙整!X47</f>
        <v>-41</v>
      </c>
      <c r="F56" s="88">
        <v>3</v>
      </c>
      <c r="G56" s="88" t="str">
        <f>IF(ISERROR(VLOOKUP(F56,A54:D56,2,0)),"",VLOOKUP(F56,A54:D56,2,0))</f>
        <v>投信Buy臺灣永續期貨</v>
      </c>
      <c r="H56" s="88">
        <f>IF(ISERROR(VLOOKUP(F56,A54:D56,3,0)),"",VLOOKUP(F56,A54:D56,3,0))</f>
        <v>4169.666666666667</v>
      </c>
      <c r="I56" s="88">
        <f>IF(ISERROR(VLOOKUP(F56,A54:D56,4,0)),"",VLOOKUP(F56,A54:D56,4,0))</f>
        <v>30</v>
      </c>
      <c r="J56" s="88"/>
      <c r="K56" s="88"/>
      <c r="L56" s="88">
        <f>I56</f>
        <v>30</v>
      </c>
    </row>
    <row r="57" spans="1:12" x14ac:dyDescent="0.4">
      <c r="A57" s="88">
        <f>IF(ISERROR(RANK(C57,C57:C59,1)+COUNTIF(C57:C57,C57)-1),"",RANK(C57,C57:C59,1)+COUNTIF(C57:C57,C57)-1)</f>
        <v>1</v>
      </c>
      <c r="B57" s="88" t="str">
        <f>IF(D57&lt;0,"自營商Sell臺灣生技期貨","自營商Buy臺灣生技期貨")</f>
        <v>自營商Sell臺灣生技期貨</v>
      </c>
      <c r="C57" s="88">
        <f>對照日彙整!Z48</f>
        <v>16577.36842105263</v>
      </c>
      <c r="D57" s="88">
        <f>對照日彙整!X48</f>
        <v>-38</v>
      </c>
      <c r="F57" s="88">
        <v>1</v>
      </c>
      <c r="G57" s="88" t="str">
        <f>IF(ISERROR(VLOOKUP(F57,A57:D59,2,0)),"",VLOOKUP(F57,A57:D59,2,0))</f>
        <v>自營商Sell臺灣生技期貨</v>
      </c>
      <c r="H57" s="88">
        <f>IF(ISERROR(VLOOKUP(F57,A57:D59,3,0)),"",VLOOKUP(F57,A57:D59,3,0))</f>
        <v>16577.36842105263</v>
      </c>
      <c r="I57" s="88">
        <f>IF(ISERROR(VLOOKUP(F57,A57:D59,4,0)),"",VLOOKUP(F57,A57:D59,4,0))</f>
        <v>-38</v>
      </c>
      <c r="J57" s="88">
        <f>I57</f>
        <v>-38</v>
      </c>
      <c r="K57" s="88"/>
      <c r="L57" s="88"/>
    </row>
    <row r="58" spans="1:12" x14ac:dyDescent="0.4">
      <c r="A58" s="88">
        <f>IF(ISERROR(RANK(C58,C57:C59,1)+COUNTIF(C57:C58,C58)-1),"",RANK(C58,C57:C59,1)+COUNTIF(C57:C58,C58)-1)</f>
        <v>2</v>
      </c>
      <c r="B58" s="88" t="str">
        <f>IF(D58&lt;0,"投信Sell臺灣生技期貨","投信Buy臺灣生技期貨")</f>
        <v>投信Buy臺灣生技期貨</v>
      </c>
      <c r="C58" s="88">
        <f>對照日彙整!Z49</f>
        <v>16578.285714285714</v>
      </c>
      <c r="D58" s="88">
        <f>對照日彙整!X49</f>
        <v>35</v>
      </c>
      <c r="F58" s="88">
        <v>2</v>
      </c>
      <c r="G58" s="88" t="str">
        <f>IF(ISERROR(VLOOKUP(F58,A57:D59,2,0)),"",VLOOKUP(F58,A57:D59,2,0))</f>
        <v>投信Buy臺灣生技期貨</v>
      </c>
      <c r="H58" s="88">
        <f>IF(ISERROR(VLOOKUP(F58,A57:D59,3,0)),"",VLOOKUP(F58,A57:D59,3,0))</f>
        <v>16578.285714285714</v>
      </c>
      <c r="I58" s="88">
        <f>IF(ISERROR(VLOOKUP(F58,A57:D59,4,0)),"",VLOOKUP(F58,A57:D59,4,0))</f>
        <v>35</v>
      </c>
      <c r="J58" s="88"/>
      <c r="K58" s="88">
        <f>I58</f>
        <v>35</v>
      </c>
      <c r="L58" s="88"/>
    </row>
    <row r="59" spans="1:12" x14ac:dyDescent="0.4">
      <c r="A59" s="88">
        <f>IF(ISERROR(RANK(C59,C57:C59,1)+COUNTIF(C57:C59,C59)-1),"",RANK(C59,C57:C59,1)+COUNTIF(C57:C59,C59)-1)</f>
        <v>3</v>
      </c>
      <c r="B59" s="88" t="str">
        <f>IF(D59&lt;0,"外資Sell臺灣生技期貨","外資Buy臺灣生技期貨")</f>
        <v>外資Buy臺灣生技期貨</v>
      </c>
      <c r="C59" s="88">
        <f>對照日彙整!Z50</f>
        <v>16580</v>
      </c>
      <c r="D59" s="88">
        <f>對照日彙整!X50</f>
        <v>2</v>
      </c>
      <c r="F59" s="88">
        <v>3</v>
      </c>
      <c r="G59" s="88" t="str">
        <f>IF(ISERROR(VLOOKUP(F59,A57:D59,2,0)),"",VLOOKUP(F59,A57:D59,2,0))</f>
        <v>外資Buy臺灣生技期貨</v>
      </c>
      <c r="H59" s="88">
        <f>IF(ISERROR(VLOOKUP(F59,A57:D59,3,0)),"",VLOOKUP(F59,A57:D59,3,0))</f>
        <v>16580</v>
      </c>
      <c r="I59" s="88">
        <f>IF(ISERROR(VLOOKUP(F59,A57:D59,4,0)),"",VLOOKUP(F59,A57:D59,4,0))</f>
        <v>2</v>
      </c>
      <c r="J59" s="88"/>
      <c r="K59" s="88"/>
      <c r="L59" s="88">
        <f>I59</f>
        <v>2</v>
      </c>
    </row>
    <row r="60" spans="1:12" x14ac:dyDescent="0.4">
      <c r="A60" s="88">
        <f>IF(ISERROR(RANK(C60,C60:C62,1)+COUNTIF(C60:C60,C60)-1),"",RANK(C60,C60:C62,1)+COUNTIF(C60:C60,C60)-1)</f>
        <v>2</v>
      </c>
      <c r="B60" s="88" t="str">
        <f>IF(D60&lt;0,"自營商Sell美國標普500期貨","自營商Buy美國標普500期貨")</f>
        <v>自營商Sell美國標普500期貨</v>
      </c>
      <c r="C60" s="88">
        <f>對照日彙整!Z51</f>
        <v>997.69230769230762</v>
      </c>
      <c r="D60" s="88">
        <f>對照日彙整!X51</f>
        <v>-26</v>
      </c>
      <c r="F60" s="88">
        <v>1</v>
      </c>
      <c r="G60" s="88" t="str">
        <f>IF(ISERROR(VLOOKUP(F60,A60:D62,2,0)),"",VLOOKUP(F60,A60:D62,2,0))</f>
        <v>外資Sell美國標普500期貨</v>
      </c>
      <c r="H60" s="88">
        <f>IF(ISERROR(VLOOKUP(F60,A60:D62,3,0)),"",VLOOKUP(F60,A60:D62,3,0))</f>
        <v>997.5</v>
      </c>
      <c r="I60" s="88">
        <f>IF(ISERROR(VLOOKUP(F60,A60:D62,4,0)),"",VLOOKUP(F60,A60:D62,4,0))</f>
        <v>-4</v>
      </c>
      <c r="J60" s="88">
        <f>I60</f>
        <v>-4</v>
      </c>
      <c r="K60" s="88"/>
      <c r="L60" s="88"/>
    </row>
    <row r="61" spans="1:12" x14ac:dyDescent="0.4">
      <c r="A61" s="88" t="str">
        <f>IF(ISERROR(RANK(C61,C60:C62,1)+COUNTIF(C60:C61,C61)-1),"",RANK(C61,C60:C62,1)+COUNTIF(C60:C61,C61)-1)</f>
        <v/>
      </c>
      <c r="B61" s="88" t="str">
        <f>IF(D61&lt;0,"投信Sell美國標普500期貨","投信Buy美國標普500期貨")</f>
        <v>投信Buy美國標普500期貨</v>
      </c>
      <c r="C61" s="88" t="str">
        <f>對照日彙整!Z52</f>
        <v/>
      </c>
      <c r="D61" s="88">
        <f>對照日彙整!X52</f>
        <v>0</v>
      </c>
      <c r="F61" s="88">
        <v>2</v>
      </c>
      <c r="G61" s="88" t="str">
        <f>IF(ISERROR(VLOOKUP(F61,A60:D62,2,0)),"",VLOOKUP(F61,A60:D62,2,0))</f>
        <v>自營商Sell美國標普500期貨</v>
      </c>
      <c r="H61" s="88">
        <f>IF(ISERROR(VLOOKUP(F61,A60:D62,3,0)),"",VLOOKUP(F61,A60:D62,3,0))</f>
        <v>997.69230769230762</v>
      </c>
      <c r="I61" s="88">
        <f>IF(ISERROR(VLOOKUP(F61,A60:D62,4,0)),"",VLOOKUP(F61,A60:D62,4,0))</f>
        <v>-26</v>
      </c>
      <c r="J61" s="88"/>
      <c r="K61" s="88">
        <f>I61</f>
        <v>-26</v>
      </c>
      <c r="L61" s="88"/>
    </row>
    <row r="62" spans="1:12" x14ac:dyDescent="0.4">
      <c r="A62" s="88">
        <f>IF(ISERROR(RANK(C62,C60:C62,1)+COUNTIF(C60:C62,C62)-1),"",RANK(C62,C60:C62,1)+COUNTIF(C60:C62,C62)-1)</f>
        <v>1</v>
      </c>
      <c r="B62" s="88" t="str">
        <f>IF(D62&lt;0,"外資Sell美國標普500期貨","外資Buy美國標普500期貨")</f>
        <v>外資Sell美國標普500期貨</v>
      </c>
      <c r="C62" s="88">
        <f>對照日彙整!Z53</f>
        <v>997.5</v>
      </c>
      <c r="D62" s="88">
        <f>對照日彙整!X53</f>
        <v>-4</v>
      </c>
      <c r="F62" s="88">
        <v>3</v>
      </c>
      <c r="G62" s="88" t="str">
        <f>IF(ISERROR(VLOOKUP(F62,A60:D62,2,0)),"",VLOOKUP(F62,A60:D62,2,0))</f>
        <v/>
      </c>
      <c r="H62" s="88" t="str">
        <f>IF(ISERROR(VLOOKUP(F62,A60:D62,3,0)),"",VLOOKUP(F62,A60:D62,3,0))</f>
        <v/>
      </c>
      <c r="I62" s="88" t="str">
        <f>IF(ISERROR(VLOOKUP(F62,A60:D62,4,0)),"",VLOOKUP(F62,A60:D62,4,0))</f>
        <v/>
      </c>
      <c r="J62" s="88"/>
      <c r="K62" s="88"/>
      <c r="L62" s="88" t="str">
        <f>I62</f>
        <v/>
      </c>
    </row>
    <row r="63" spans="1:12" x14ac:dyDescent="0.4">
      <c r="A63" s="88">
        <f>IF(ISERROR(RANK(C63,C63:C65,1)+COUNTIF(C63:C63,C63)-1),"",RANK(C63,C63:C65,1)+COUNTIF(C63:C63,C63)-1)</f>
        <v>1</v>
      </c>
      <c r="B63" s="88" t="str">
        <f>IF(D63&lt;0,"自營商Sell美國那斯達克100期貨","自營商Buy美國那斯達克100期貨")</f>
        <v>自營商Sell美國那斯達克100期貨</v>
      </c>
      <c r="C63" s="88">
        <f>對照日彙整!Z54</f>
        <v>7905</v>
      </c>
      <c r="D63" s="88">
        <f>對照日彙整!X54</f>
        <v>-244</v>
      </c>
      <c r="F63" s="88">
        <v>1</v>
      </c>
      <c r="G63" s="88" t="str">
        <f>IF(ISERROR(VLOOKUP(F63,A63:D65,2,0)),"",VLOOKUP(F63,A63:D65,2,0))</f>
        <v>自營商Sell美國那斯達克100期貨</v>
      </c>
      <c r="H63" s="88">
        <f>IF(ISERROR(VLOOKUP(F63,A63:D65,3,0)),"",VLOOKUP(F63,A63:D65,3,0))</f>
        <v>7905</v>
      </c>
      <c r="I63" s="88">
        <f>IF(ISERROR(VLOOKUP(F63,A63:D65,4,0)),"",VLOOKUP(F63,A63:D65,4,0))</f>
        <v>-244</v>
      </c>
      <c r="J63" s="88">
        <f>I63</f>
        <v>-244</v>
      </c>
      <c r="K63" s="88"/>
      <c r="L63" s="88"/>
    </row>
    <row r="64" spans="1:12" x14ac:dyDescent="0.4">
      <c r="A64" s="88" t="str">
        <f>IF(ISERROR(RANK(C64,C63:C65,1)+COUNTIF(C63:C64,C64)-1),"",RANK(C64,C63:C65,1)+COUNTIF(C63:C64,C64)-1)</f>
        <v/>
      </c>
      <c r="B64" s="88" t="str">
        <f>IF(D64&lt;0,"投信Sell台美國那斯達克100期貨","投信Buy美國那斯達克100期貨")</f>
        <v>投信Buy美國那斯達克100期貨</v>
      </c>
      <c r="C64" s="88" t="str">
        <f>對照日彙整!Z55</f>
        <v/>
      </c>
      <c r="D64" s="88">
        <f>對照日彙整!X55</f>
        <v>0</v>
      </c>
      <c r="F64" s="88">
        <v>2</v>
      </c>
      <c r="G64" s="88" t="str">
        <f>IF(ISERROR(VLOOKUP(F64,A63:D65,2,0)),"",VLOOKUP(F64,A63:D65,2,0))</f>
        <v>外資Buy美國那斯達克100期貨</v>
      </c>
      <c r="H64" s="88">
        <f>IF(ISERROR(VLOOKUP(F64,A63:D65,3,0)),"",VLOOKUP(F64,A63:D65,3,0))</f>
        <v>7905.322580645161</v>
      </c>
      <c r="I64" s="88">
        <f>IF(ISERROR(VLOOKUP(F64,A63:D65,4,0)),"",VLOOKUP(F64,A63:D65,4,0))</f>
        <v>115</v>
      </c>
      <c r="J64" s="88"/>
      <c r="K64" s="88">
        <f>I64</f>
        <v>115</v>
      </c>
      <c r="L64" s="88"/>
    </row>
    <row r="65" spans="1:21" x14ac:dyDescent="0.4">
      <c r="A65" s="88">
        <f>IF(ISERROR(RANK(C65,C63:C65,1)+COUNTIF(C63:C65,C65)-1),"",RANK(C65,C63:C65,1)+COUNTIF(C63:C65,C65)-1)</f>
        <v>2</v>
      </c>
      <c r="B65" s="88" t="str">
        <f>IF(D65&lt;0,"外資Sell美國那斯達克100期貨","外資Buy美國那斯達克100期貨")</f>
        <v>外資Buy美國那斯達克100期貨</v>
      </c>
      <c r="C65" s="88">
        <f>對照日彙整!Z56</f>
        <v>7905.322580645161</v>
      </c>
      <c r="D65" s="88">
        <f>對照日彙整!X56</f>
        <v>115</v>
      </c>
      <c r="F65" s="88">
        <v>3</v>
      </c>
      <c r="G65" s="88" t="str">
        <f>IF(ISERROR(VLOOKUP(F65,A63:D65,2,0)),"",VLOOKUP(F65,A63:D65,2,0))</f>
        <v/>
      </c>
      <c r="H65" s="88" t="str">
        <f>IF(ISERROR(VLOOKUP(F65,A63:D65,3,0)),"",VLOOKUP(F65,A63:D65,3,0))</f>
        <v/>
      </c>
      <c r="I65" s="88" t="str">
        <f>IF(ISERROR(VLOOKUP(F65,A63:D65,4,0)),"",VLOOKUP(F65,A63:D65,4,0))</f>
        <v/>
      </c>
      <c r="J65" s="88"/>
      <c r="K65" s="88"/>
      <c r="L65" s="88" t="str">
        <f>I65</f>
        <v/>
      </c>
    </row>
    <row r="66" spans="1:21" x14ac:dyDescent="0.4">
      <c r="A66" s="88">
        <f>IF(ISERROR(RANK(C66,C66:C68,1)+COUNTIF(C66:C66,C66)-1),"",RANK(C66,C66:C68,1)+COUNTIF(C66:C66,C66)-1)</f>
        <v>2</v>
      </c>
      <c r="B66" s="88" t="str">
        <f>IF(D66&lt;0,"自營商Sell美國道瓊期貨","自營商Buy美國道瓊期貨")</f>
        <v>自營商Sell美國道瓊期貨</v>
      </c>
      <c r="C66" s="88">
        <f>對照日彙整!Z57</f>
        <v>43359.959349593497</v>
      </c>
      <c r="D66" s="88">
        <f>對照日彙整!X57</f>
        <v>-220</v>
      </c>
      <c r="F66" s="88">
        <v>1</v>
      </c>
      <c r="G66" s="88" t="str">
        <f>IF(ISERROR(VLOOKUP(F66,A66:D68,2,0)),"",VLOOKUP(F66,A66:D68,2,0))</f>
        <v>外資Sell美國道瓊期貨</v>
      </c>
      <c r="H66" s="88">
        <f>IF(ISERROR(VLOOKUP(F66,A66:D68,3,0)),"",VLOOKUP(F66,A66:D68,3,0))</f>
        <v>43333.333333333328</v>
      </c>
      <c r="I66" s="88">
        <f>IF(ISERROR(VLOOKUP(F66,A66:D68,4,0)),"",VLOOKUP(F66,A66:D68,4,0))</f>
        <v>-153</v>
      </c>
      <c r="J66" s="88">
        <f>I66</f>
        <v>-153</v>
      </c>
      <c r="K66" s="88"/>
      <c r="L66" s="88"/>
    </row>
    <row r="67" spans="1:21" x14ac:dyDescent="0.4">
      <c r="A67" s="88" t="str">
        <f>IF(ISERROR(RANK(C67,C66:C68,1)+COUNTIF(C66:C67,C67)-1),"",RANK(C67,C66:C68,1)+COUNTIF(C66:C67,C67)-1)</f>
        <v/>
      </c>
      <c r="B67" s="88" t="str">
        <f>IF(D67&lt;0,"投信Sell美國道瓊期貨","投信Buy美國道瓊期貨")</f>
        <v>投信Buy美國道瓊期貨</v>
      </c>
      <c r="C67" s="88" t="str">
        <f>對照日彙整!Z58</f>
        <v/>
      </c>
      <c r="D67" s="88">
        <f>對照日彙整!X58</f>
        <v>0</v>
      </c>
      <c r="F67" s="88">
        <v>2</v>
      </c>
      <c r="G67" s="88" t="str">
        <f>IF(ISERROR(VLOOKUP(F67,A66:D68,2,0)),"",VLOOKUP(F67,A66:D68,2,0))</f>
        <v>自營商Sell美國道瓊期貨</v>
      </c>
      <c r="H67" s="88">
        <f>IF(ISERROR(VLOOKUP(F67,A66:D68,3,0)),"",VLOOKUP(F67,A66:D68,3,0))</f>
        <v>43359.959349593497</v>
      </c>
      <c r="I67" s="88">
        <f>IF(ISERROR(VLOOKUP(F67,A66:D68,4,0)),"",VLOOKUP(F67,A66:D68,4,0))</f>
        <v>-220</v>
      </c>
      <c r="J67" s="88"/>
      <c r="K67" s="88">
        <f>I67</f>
        <v>-220</v>
      </c>
      <c r="L67" s="88"/>
    </row>
    <row r="68" spans="1:21" x14ac:dyDescent="0.4">
      <c r="A68" s="88">
        <f>IF(ISERROR(RANK(C68,C66:C68,1)+COUNTIF(C66:C68,C68)-1),"",RANK(C68,C66:C68,1)+COUNTIF(C66:C68,C68)-1)</f>
        <v>1</v>
      </c>
      <c r="B68" s="88" t="str">
        <f>IF(D68&lt;0,"外資Sell美國道瓊期貨","外資Buy美國道瓊期貨")</f>
        <v>外資Sell美國道瓊期貨</v>
      </c>
      <c r="C68" s="88">
        <f>對照日彙整!Z59</f>
        <v>43333.333333333328</v>
      </c>
      <c r="D68" s="88">
        <f>對照日彙整!X59</f>
        <v>-153</v>
      </c>
      <c r="F68" s="88">
        <v>3</v>
      </c>
      <c r="G68" s="88" t="str">
        <f>IF(ISERROR(VLOOKUP(F68,A66:D68,2,0)),"",VLOOKUP(F68,A66:D68,2,0))</f>
        <v/>
      </c>
      <c r="H68" s="88" t="str">
        <f>IF(ISERROR(VLOOKUP(F68,A66:D68,3,0)),"",VLOOKUP(F68,A66:D68,3,0))</f>
        <v/>
      </c>
      <c r="I68" s="88" t="str">
        <f>IF(ISERROR(VLOOKUP(F68,A66:D68,4,0)),"",VLOOKUP(F68,A66:D68,4,0))</f>
        <v/>
      </c>
      <c r="J68" s="88"/>
      <c r="K68" s="88"/>
      <c r="L68" s="88" t="str">
        <f>I68</f>
        <v/>
      </c>
    </row>
    <row r="69" spans="1:21" x14ac:dyDescent="0.4">
      <c r="A69" s="88">
        <f>IF(ISERROR(RANK(C69,C69:C71,1)+COUNTIF(C69:C69,C69)-1),"",RANK(C69,C69:C71,1)+COUNTIF(C69:C69,C69)-1)</f>
        <v>2</v>
      </c>
      <c r="B69" s="88" t="str">
        <f>IF(D69&lt;0,"自營商Sell英國富時100期貨","自營商Buy英國富時100期貨")</f>
        <v>自營商Sell英國富時100期貨</v>
      </c>
      <c r="C69" s="88">
        <f>對照日彙整!Z60</f>
        <v>14618.443113772455</v>
      </c>
      <c r="D69" s="88">
        <f>對照日彙整!X60</f>
        <v>-471</v>
      </c>
      <c r="F69" s="88">
        <v>1</v>
      </c>
      <c r="G69" s="88" t="str">
        <f>IF(ISERROR(VLOOKUP(F69,A69:D71,2,0)),"",VLOOKUP(F69,A69:D71,2,0))</f>
        <v>外資Sell英國富時100期貨</v>
      </c>
      <c r="H69" s="88">
        <f>IF(ISERROR(VLOOKUP(F69,A69:D71,3,0)),"",VLOOKUP(F69,A69:D71,3,0))</f>
        <v>14616.954314720811</v>
      </c>
      <c r="I69" s="88">
        <f>IF(ISERROR(VLOOKUP(F69,A69:D71,4,0)),"",VLOOKUP(F69,A69:D71,4,0))</f>
        <v>-185</v>
      </c>
      <c r="J69" s="88">
        <f>I69</f>
        <v>-185</v>
      </c>
      <c r="K69" s="88"/>
      <c r="L69" s="88"/>
    </row>
    <row r="70" spans="1:21" x14ac:dyDescent="0.4">
      <c r="A70" s="88" t="str">
        <f>IF(ISERROR(RANK(C70,C69:C71,1)+COUNTIF(C69:C70,C70)-1),"",RANK(C70,C69:C71,1)+COUNTIF(C69:C70,C70)-1)</f>
        <v/>
      </c>
      <c r="B70" s="88" t="str">
        <f>IF(D70&lt;0,"投信Sell英國富時100期貨","投信Buy英國富時100期貨")</f>
        <v>投信Buy英國富時100期貨</v>
      </c>
      <c r="C70" s="88" t="str">
        <f>對照日彙整!Z61</f>
        <v/>
      </c>
      <c r="D70" s="88">
        <f>對照日彙整!X61</f>
        <v>0</v>
      </c>
      <c r="F70" s="88">
        <v>2</v>
      </c>
      <c r="G70" s="88" t="str">
        <f>IF(ISERROR(VLOOKUP(F70,A69:D71,2,0)),"",VLOOKUP(F70,A69:D71,2,0))</f>
        <v>自營商Sell英國富時100期貨</v>
      </c>
      <c r="H70" s="88">
        <f>IF(ISERROR(VLOOKUP(F70,A69:D71,3,0)),"",VLOOKUP(F70,A69:D71,3,0))</f>
        <v>14618.443113772455</v>
      </c>
      <c r="I70" s="88">
        <f>IF(ISERROR(VLOOKUP(F70,A69:D71,4,0)),"",VLOOKUP(F70,A69:D71,4,0))</f>
        <v>-471</v>
      </c>
      <c r="J70" s="88"/>
      <c r="K70" s="88">
        <f>I70</f>
        <v>-471</v>
      </c>
      <c r="L70" s="88"/>
    </row>
    <row r="71" spans="1:21" x14ac:dyDescent="0.4">
      <c r="A71" s="88">
        <f>IF(ISERROR(RANK(C71,C69:C71,1)+COUNTIF(C69:C71,C71)-1),"",RANK(C71,C69:C71,1)+COUNTIF(C69:C71,C71)-1)</f>
        <v>1</v>
      </c>
      <c r="B71" s="88" t="str">
        <f>IF(D71&lt;0,"外資Sell英國富時100期貨","外資Buy英國富時100期貨")</f>
        <v>外資Sell英國富時100期貨</v>
      </c>
      <c r="C71" s="88">
        <f>對照日彙整!Z62</f>
        <v>14616.954314720811</v>
      </c>
      <c r="D71" s="88">
        <f>對照日彙整!X62</f>
        <v>-185</v>
      </c>
      <c r="F71" s="88">
        <v>3</v>
      </c>
      <c r="G71" s="88" t="str">
        <f>IF(ISERROR(VLOOKUP(F71,A69:D71,2,0)),"",VLOOKUP(F71,A69:D71,2,0))</f>
        <v/>
      </c>
      <c r="H71" s="88" t="str">
        <f>IF(ISERROR(VLOOKUP(F71,A69:D71,3,0)),"",VLOOKUP(F71,A69:D71,3,0))</f>
        <v/>
      </c>
      <c r="I71" s="88" t="str">
        <f>IF(ISERROR(VLOOKUP(F71,A69:D71,4,0)),"",VLOOKUP(F71,A69:D71,4,0))</f>
        <v/>
      </c>
      <c r="J71" s="88"/>
      <c r="K71" s="88"/>
      <c r="L71" s="88" t="str">
        <f>I71</f>
        <v/>
      </c>
    </row>
    <row r="72" spans="1:21" x14ac:dyDescent="0.4"/>
    <row r="73" spans="1:21" x14ac:dyDescent="0.4">
      <c r="A73" s="86" t="s">
        <v>210</v>
      </c>
      <c r="B73" s="86" t="s">
        <v>211</v>
      </c>
      <c r="C73" s="86" t="s">
        <v>183</v>
      </c>
      <c r="D73" s="86" t="s">
        <v>3</v>
      </c>
      <c r="E73" s="86"/>
      <c r="F73" s="86" t="s">
        <v>212</v>
      </c>
      <c r="G73" s="86" t="s">
        <v>211</v>
      </c>
      <c r="H73" s="86" t="s">
        <v>183</v>
      </c>
      <c r="I73" s="86" t="s">
        <v>3</v>
      </c>
      <c r="J73" s="86" t="s">
        <v>213</v>
      </c>
    </row>
    <row r="74" spans="1:21" x14ac:dyDescent="0.4">
      <c r="A74" s="88">
        <f>IF(ISERROR(RANK(C74,$C$74:$C$85,1)+COUNTIF($C$74:$C74,C74)-1),"",RANK(C74,$C$74:$C$85,1)+COUNTIF($C$74:$C74,C74)-1)</f>
        <v>5</v>
      </c>
      <c r="B74" s="88" t="str">
        <f>IF(最新日彙整!L5&lt;0,"自營商Sell-Call","自營商Buy-Call")</f>
        <v>自營商Sell-Call</v>
      </c>
      <c r="C74" s="88">
        <f>最新日彙整!N5</f>
        <v>16750</v>
      </c>
      <c r="D74" s="88">
        <f>最新日彙整!L5</f>
        <v>-327</v>
      </c>
      <c r="E74" s="88"/>
      <c r="F74" s="88">
        <v>1</v>
      </c>
      <c r="G74" s="88" t="str">
        <f t="shared" ref="G74:G85" si="6">IF(ISERROR(VLOOKUP($F74,$A$74:$D$85,2,0)),"",VLOOKUP($F74,$A$74:$D$85,2,0))</f>
        <v>自營商Sell-Put</v>
      </c>
      <c r="H74" s="88">
        <f t="shared" ref="H74:H85" si="7">IF(ISERROR(VLOOKUP($F74,$A$74:$D$85,3,0)),"",VLOOKUP($F74,$A$74:$D$85,3,0))</f>
        <v>16550</v>
      </c>
      <c r="I74" s="88">
        <f t="shared" ref="I74:I85" si="8">IF(ISERROR(VLOOKUP($F74,$A$74:$D$85,4,0)),"",VLOOKUP($F74,$A$74:$D$85,4,0))</f>
        <v>2160</v>
      </c>
      <c r="J74" s="88">
        <f>I74</f>
        <v>2160</v>
      </c>
      <c r="K74" s="88"/>
      <c r="L74" s="88"/>
      <c r="M74" s="88"/>
      <c r="N74" s="88"/>
      <c r="O74" s="88"/>
      <c r="P74" s="88"/>
      <c r="Q74" s="88"/>
      <c r="R74" s="88"/>
      <c r="S74" s="89"/>
      <c r="T74" s="89"/>
      <c r="U74" s="89"/>
    </row>
    <row r="75" spans="1:21" x14ac:dyDescent="0.4">
      <c r="A75" s="88" t="str">
        <f>IF(ISERROR(RANK(C75,$C$74:$C$85,1)+COUNTIF($C$74:$C75,C75)-1),"",RANK(C75,$C$74:$C$85,1)+COUNTIF($C$74:$C75,C75)-1)</f>
        <v/>
      </c>
      <c r="B75" s="88" t="str">
        <f>IF(最新日彙整!L6&lt;0,"投信Sell-Call","投信Buy-Call")</f>
        <v>投信Buy-Call</v>
      </c>
      <c r="C75" s="88" t="str">
        <f>最新日彙整!N6</f>
        <v/>
      </c>
      <c r="D75" s="88">
        <f>最新日彙整!L6</f>
        <v>0</v>
      </c>
      <c r="E75" s="88"/>
      <c r="F75" s="88">
        <v>2</v>
      </c>
      <c r="G75" s="88" t="str">
        <f t="shared" si="6"/>
        <v>外資Buy-Put</v>
      </c>
      <c r="H75" s="88">
        <f t="shared" si="7"/>
        <v>16650</v>
      </c>
      <c r="I75" s="88">
        <f t="shared" si="8"/>
        <v>-1626</v>
      </c>
      <c r="J75" s="88"/>
      <c r="K75" s="88">
        <f>I75</f>
        <v>-1626</v>
      </c>
      <c r="L75" s="88"/>
      <c r="M75" s="88"/>
      <c r="N75" s="88"/>
      <c r="O75" s="88"/>
      <c r="P75" s="88"/>
      <c r="Q75" s="88"/>
      <c r="R75" s="88"/>
      <c r="S75" s="89"/>
      <c r="T75" s="89"/>
      <c r="U75" s="89"/>
    </row>
    <row r="76" spans="1:21" x14ac:dyDescent="0.4">
      <c r="A76" s="88">
        <f>IF(ISERROR(RANK(C76,$C$74:$C$85,1)+COUNTIF($C$74:$C76,C76)-1),"",RANK(C76,$C$74:$C$85,1)+COUNTIF($C$74:$C76,C76)-1)</f>
        <v>4</v>
      </c>
      <c r="B76" s="88" t="str">
        <f>IF(最新日彙整!L7&lt;0,"外資Sell-Call","外資Buy-Call")</f>
        <v>外資Buy-Call</v>
      </c>
      <c r="C76" s="88">
        <f>最新日彙整!N7</f>
        <v>16700</v>
      </c>
      <c r="D76" s="88">
        <f>最新日彙整!L7</f>
        <v>6065</v>
      </c>
      <c r="E76" s="88"/>
      <c r="F76" s="88">
        <v>3</v>
      </c>
      <c r="G76" s="88" t="str">
        <f t="shared" si="6"/>
        <v>投信Buy小台</v>
      </c>
      <c r="H76" s="88">
        <f t="shared" si="7"/>
        <v>16699.655172413793</v>
      </c>
      <c r="I76" s="88">
        <f t="shared" si="8"/>
        <v>5</v>
      </c>
      <c r="J76" s="88"/>
      <c r="K76" s="88"/>
      <c r="L76" s="88">
        <f>I76</f>
        <v>5</v>
      </c>
      <c r="M76" s="88"/>
      <c r="N76" s="88"/>
      <c r="O76" s="88"/>
      <c r="P76" s="88"/>
      <c r="Q76" s="88"/>
      <c r="R76" s="88"/>
      <c r="S76" s="89"/>
      <c r="T76" s="89"/>
      <c r="U76" s="89"/>
    </row>
    <row r="77" spans="1:21" x14ac:dyDescent="0.4">
      <c r="A77" s="88">
        <f>IF(ISERROR(RANK(C77,$C$74:$C$85,1)+COUNTIF($C$74:$C77,C77)-1),"",RANK(C77,$C$74:$C$85,1)+COUNTIF($C$74:$C77,C77)-1)</f>
        <v>1</v>
      </c>
      <c r="B77" s="88" t="str">
        <f>IF(最新日彙整!L8&gt;0,"自營商Buy-Put","自營商Sell-Put")</f>
        <v>自營商Sell-Put</v>
      </c>
      <c r="C77" s="88">
        <f>最新日彙整!N8</f>
        <v>16550</v>
      </c>
      <c r="D77" s="88">
        <f>最新日彙整!L8*-1</f>
        <v>2160</v>
      </c>
      <c r="E77" s="88"/>
      <c r="F77" s="88">
        <v>4</v>
      </c>
      <c r="G77" s="88" t="str">
        <f t="shared" si="6"/>
        <v>外資Buy-Call</v>
      </c>
      <c r="H77" s="88">
        <f t="shared" si="7"/>
        <v>16700</v>
      </c>
      <c r="I77" s="88">
        <f t="shared" si="8"/>
        <v>6065</v>
      </c>
      <c r="J77" s="88"/>
      <c r="K77" s="88"/>
      <c r="L77" s="88"/>
      <c r="M77" s="88">
        <f>I77</f>
        <v>6065</v>
      </c>
      <c r="N77" s="88"/>
      <c r="O77" s="88"/>
      <c r="P77" s="88"/>
      <c r="Q77" s="88"/>
      <c r="R77" s="88"/>
      <c r="S77" s="89"/>
      <c r="T77" s="89"/>
      <c r="U77" s="89"/>
    </row>
    <row r="78" spans="1:21" x14ac:dyDescent="0.4">
      <c r="A78" s="88" t="str">
        <f>IF(ISERROR(RANK(C78,$C$74:$C$85,1)+COUNTIF($C$74:$C78,C78)-1),"",RANK(C78,$C$74:$C$85,1)+COUNTIF($C$74:$C78,C78)-1)</f>
        <v/>
      </c>
      <c r="B78" s="88" t="str">
        <f>IF(最新日彙整!L9&gt;0,"投信Buy-Put","投信Sell-Put")</f>
        <v>投信Sell-Put</v>
      </c>
      <c r="C78" s="88" t="str">
        <f>最新日彙整!N9</f>
        <v/>
      </c>
      <c r="D78" s="88">
        <f>最新日彙整!L9*-1</f>
        <v>0</v>
      </c>
      <c r="E78" s="88"/>
      <c r="F78" s="88">
        <v>5</v>
      </c>
      <c r="G78" s="88" t="str">
        <f t="shared" si="6"/>
        <v>自營商Sell-Call</v>
      </c>
      <c r="H78" s="88">
        <f t="shared" si="7"/>
        <v>16750</v>
      </c>
      <c r="I78" s="88">
        <f t="shared" si="8"/>
        <v>-327</v>
      </c>
      <c r="J78" s="88"/>
      <c r="K78" s="88"/>
      <c r="L78" s="88"/>
      <c r="M78" s="88"/>
      <c r="N78" s="88">
        <f>I78</f>
        <v>-327</v>
      </c>
      <c r="O78" s="88"/>
      <c r="P78" s="88"/>
      <c r="Q78" s="88"/>
      <c r="R78" s="88"/>
      <c r="S78" s="89"/>
      <c r="T78" s="89"/>
      <c r="U78" s="89"/>
    </row>
    <row r="79" spans="1:21" x14ac:dyDescent="0.4">
      <c r="A79" s="88">
        <f>IF(ISERROR(RANK(C79,$C$74:$C$85,1)+COUNTIF($C$74:$C79,C79)-1),"",RANK(C79,$C$74:$C$85,1)+COUNTIF($C$74:$C79,C79)-1)</f>
        <v>2</v>
      </c>
      <c r="B79" s="88" t="str">
        <f>IF(最新日彙整!L10&gt;0,"外資Buy-Put","外資Sell-Put")</f>
        <v>外資Buy-Put</v>
      </c>
      <c r="C79" s="88">
        <f>最新日彙整!N10</f>
        <v>16650</v>
      </c>
      <c r="D79" s="88">
        <f>最新日彙整!L10*-1</f>
        <v>-1626</v>
      </c>
      <c r="E79" s="88"/>
      <c r="F79" s="88">
        <v>6</v>
      </c>
      <c r="G79" s="88" t="str">
        <f t="shared" si="6"/>
        <v>投信Buy大台</v>
      </c>
      <c r="H79" s="88">
        <f t="shared" si="7"/>
        <v>16767.813805169884</v>
      </c>
      <c r="I79" s="88">
        <f t="shared" si="8"/>
        <v>141</v>
      </c>
      <c r="J79" s="88"/>
      <c r="K79" s="88"/>
      <c r="L79" s="88"/>
      <c r="M79" s="88"/>
      <c r="N79" s="88"/>
      <c r="O79" s="88">
        <f>I79</f>
        <v>141</v>
      </c>
      <c r="P79" s="88"/>
      <c r="Q79" s="88"/>
      <c r="R79" s="88"/>
      <c r="S79" s="89"/>
      <c r="T79" s="89"/>
      <c r="U79" s="89"/>
    </row>
    <row r="80" spans="1:21" x14ac:dyDescent="0.4">
      <c r="A80" s="88">
        <f>IF(ISERROR(RANK(C80,$C$74:$C$85,1)+COUNTIF($C$74:$C80,C80)-1),"",RANK(C80,$C$74:$C$85,1)+COUNTIF($C$74:$C80,C80)-1)</f>
        <v>7</v>
      </c>
      <c r="B80" s="88" t="str">
        <f>IF(最新日彙整!L15=0,"",IF(最新日彙整!L15&gt;0,"自營商Buy大台","自營商Sell大台"))</f>
        <v>自營商Buy大台</v>
      </c>
      <c r="C80" s="88">
        <f>最新日彙整!N15</f>
        <v>16769.260379433599</v>
      </c>
      <c r="D80" s="88">
        <f>最新日彙整!L15</f>
        <v>168</v>
      </c>
      <c r="E80" s="88"/>
      <c r="F80" s="88">
        <v>7</v>
      </c>
      <c r="G80" s="88" t="str">
        <f t="shared" si="6"/>
        <v>自營商Buy大台</v>
      </c>
      <c r="H80" s="88">
        <f t="shared" si="7"/>
        <v>16769.260379433599</v>
      </c>
      <c r="I80" s="88">
        <f t="shared" si="8"/>
        <v>168</v>
      </c>
      <c r="J80" s="88"/>
      <c r="K80" s="88"/>
      <c r="L80" s="88"/>
      <c r="M80" s="88"/>
      <c r="N80" s="88"/>
      <c r="O80" s="88"/>
      <c r="P80" s="88">
        <f>I80</f>
        <v>168</v>
      </c>
      <c r="Q80" s="88"/>
      <c r="R80" s="88"/>
      <c r="S80" s="89"/>
      <c r="T80" s="89"/>
      <c r="U80" s="89"/>
    </row>
    <row r="81" spans="1:21" x14ac:dyDescent="0.4">
      <c r="A81" s="88">
        <f>IF(ISERROR(RANK(C81,$C$74:$C$85,1)+COUNTIF($C$74:$C81,C81)-1),"",RANK(C81,$C$74:$C$85,1)+COUNTIF($C$74:$C81,C81)-1)</f>
        <v>6</v>
      </c>
      <c r="B81" s="88" t="str">
        <f>IF(最新日彙整!L16=0,"",IF(最新日彙整!L16&gt;0,"投信Buy大台","投信Sell大台"))</f>
        <v>投信Buy大台</v>
      </c>
      <c r="C81" s="88">
        <f>最新日彙整!N16</f>
        <v>16767.813805169884</v>
      </c>
      <c r="D81" s="88">
        <f>最新日彙整!L16</f>
        <v>141</v>
      </c>
      <c r="E81" s="88"/>
      <c r="F81" s="88">
        <v>8</v>
      </c>
      <c r="G81" s="88" t="str">
        <f t="shared" si="6"/>
        <v>自營商Sell小台</v>
      </c>
      <c r="H81" s="88">
        <f t="shared" si="7"/>
        <v>16777.846293357514</v>
      </c>
      <c r="I81" s="88">
        <f t="shared" si="8"/>
        <v>-2191</v>
      </c>
      <c r="J81" s="88"/>
      <c r="K81" s="88"/>
      <c r="L81" s="88"/>
      <c r="M81" s="88"/>
      <c r="N81" s="88"/>
      <c r="O81" s="88"/>
      <c r="P81" s="88"/>
      <c r="Q81" s="88">
        <f>I81</f>
        <v>-2191</v>
      </c>
      <c r="R81" s="88"/>
      <c r="S81" s="89"/>
      <c r="T81" s="89"/>
      <c r="U81" s="89"/>
    </row>
    <row r="82" spans="1:21" x14ac:dyDescent="0.4">
      <c r="A82" s="88">
        <f>IF(ISERROR(RANK(C82,$C$74:$C$85,1)+COUNTIF($C$74:$C82,C82)-1),"",RANK(C82,$C$74:$C$85,1)+COUNTIF($C$74:$C82,C82)-1)</f>
        <v>9</v>
      </c>
      <c r="B82" s="88" t="str">
        <f>IF(最新日彙整!L17=0,"",IF(最新日彙整!L17&gt;0,"外資Buy大台","外資Sell大台"))</f>
        <v>外資Sell大台</v>
      </c>
      <c r="C82" s="88">
        <f>最新日彙整!N17</f>
        <v>16783.720654317873</v>
      </c>
      <c r="D82" s="88">
        <f>最新日彙整!L17</f>
        <v>-1343</v>
      </c>
      <c r="E82" s="88"/>
      <c r="F82" s="88">
        <v>9</v>
      </c>
      <c r="G82" s="88" t="str">
        <f t="shared" si="6"/>
        <v>外資Sell大台</v>
      </c>
      <c r="H82" s="88">
        <f t="shared" si="7"/>
        <v>16783.720654317873</v>
      </c>
      <c r="I82" s="88">
        <f t="shared" si="8"/>
        <v>-1343</v>
      </c>
      <c r="J82" s="88"/>
      <c r="K82" s="88"/>
      <c r="L82" s="88"/>
      <c r="M82" s="88"/>
      <c r="N82" s="88"/>
      <c r="O82" s="88"/>
      <c r="P82" s="88"/>
      <c r="Q82" s="88"/>
      <c r="R82" s="88">
        <f>I82</f>
        <v>-1343</v>
      </c>
      <c r="S82" s="89"/>
      <c r="T82" s="89"/>
      <c r="U82" s="89"/>
    </row>
    <row r="83" spans="1:21" x14ac:dyDescent="0.4">
      <c r="A83" s="88">
        <f>IF(ISERROR(RANK(C83,$C$74:$C$85,1)+COUNTIF($C$74:$C83,C83)-1),"",RANK(C83,$C$74:$C$85,1)+COUNTIF($C$74:$C83,C83)-1)</f>
        <v>8</v>
      </c>
      <c r="B83" s="88" t="str">
        <f>IF(最新日彙整!L24=0,"",IF(最新日彙整!L24&gt;0,"自營商Buy小台","自營商Sell小台"))</f>
        <v>自營商Sell小台</v>
      </c>
      <c r="C83" s="88">
        <f>最新日彙整!N24</f>
        <v>16777.846293357514</v>
      </c>
      <c r="D83" s="88">
        <f>最新日彙整!L24</f>
        <v>-2191</v>
      </c>
      <c r="F83" s="88">
        <v>10</v>
      </c>
      <c r="G83" s="88" t="str">
        <f t="shared" si="6"/>
        <v>外資Buy小台</v>
      </c>
      <c r="H83" s="88">
        <f t="shared" si="7"/>
        <v>16792.641984141181</v>
      </c>
      <c r="I83" s="88">
        <f t="shared" si="8"/>
        <v>104</v>
      </c>
      <c r="J83" s="89"/>
      <c r="K83" s="89"/>
      <c r="L83" s="89"/>
      <c r="M83" s="89"/>
      <c r="N83" s="89"/>
      <c r="O83" s="89"/>
      <c r="P83" s="89"/>
      <c r="Q83" s="89"/>
      <c r="R83" s="89"/>
      <c r="S83" s="89">
        <f>I83</f>
        <v>104</v>
      </c>
      <c r="T83" s="89"/>
      <c r="U83" s="89"/>
    </row>
    <row r="84" spans="1:21" x14ac:dyDescent="0.4">
      <c r="A84" s="88">
        <f>IF(ISERROR(RANK(C84,$C$74:$C$85,1)+COUNTIF($C$74:$C84,C84)-1),"",RANK(C84,$C$74:$C$85,1)+COUNTIF($C$74:$C84,C84)-1)</f>
        <v>3</v>
      </c>
      <c r="B84" s="88" t="str">
        <f>IF(最新日彙整!L25=0,"",IF(最新日彙整!L25&gt;0,"投信Buy小台","投信Sell小台"))</f>
        <v>投信Buy小台</v>
      </c>
      <c r="C84" s="88">
        <f>最新日彙整!N25</f>
        <v>16699.655172413793</v>
      </c>
      <c r="D84" s="88">
        <f>最新日彙整!L25</f>
        <v>5</v>
      </c>
      <c r="F84" s="88">
        <v>11</v>
      </c>
      <c r="G84" s="88" t="str">
        <f t="shared" si="6"/>
        <v/>
      </c>
      <c r="H84" s="88" t="str">
        <f t="shared" si="7"/>
        <v/>
      </c>
      <c r="I84" s="88" t="str">
        <f t="shared" si="8"/>
        <v/>
      </c>
      <c r="J84" s="89"/>
      <c r="K84" s="89"/>
      <c r="L84" s="89"/>
      <c r="M84" s="89"/>
      <c r="N84" s="89"/>
      <c r="O84" s="89"/>
      <c r="P84" s="89"/>
      <c r="Q84" s="89"/>
      <c r="R84" s="89"/>
      <c r="S84" s="89"/>
      <c r="T84" s="89" t="str">
        <f>I84</f>
        <v/>
      </c>
      <c r="U84" s="89"/>
    </row>
    <row r="85" spans="1:21" x14ac:dyDescent="0.4">
      <c r="A85" s="88">
        <f>IF(ISERROR(RANK(C85,$C$74:$C$85,1)+COUNTIF($C$74:$C85,C85)-1),"",RANK(C85,$C$74:$C$85,1)+COUNTIF($C$74:$C85,C85)-1)</f>
        <v>10</v>
      </c>
      <c r="B85" s="88" t="str">
        <f>IF(最新日彙整!L26=0,"",IF(最新日彙整!L26&gt;0,"外資Buy小台","外資Sell小台"))</f>
        <v>外資Buy小台</v>
      </c>
      <c r="C85" s="88">
        <f>最新日彙整!N26</f>
        <v>16792.641984141181</v>
      </c>
      <c r="D85" s="88">
        <f>最新日彙整!L26</f>
        <v>104</v>
      </c>
      <c r="F85" s="88">
        <v>12</v>
      </c>
      <c r="G85" s="88" t="str">
        <f t="shared" si="6"/>
        <v/>
      </c>
      <c r="H85" s="88" t="str">
        <f t="shared" si="7"/>
        <v/>
      </c>
      <c r="I85" s="88" t="str">
        <f t="shared" si="8"/>
        <v/>
      </c>
      <c r="J85" s="89"/>
      <c r="K85" s="89"/>
      <c r="L85" s="89"/>
      <c r="M85" s="89"/>
      <c r="N85" s="89"/>
      <c r="O85" s="89"/>
      <c r="P85" s="89"/>
      <c r="Q85" s="89"/>
      <c r="R85" s="89"/>
      <c r="S85" s="89"/>
      <c r="T85" s="89"/>
      <c r="U85" s="89" t="str">
        <f>I85</f>
        <v/>
      </c>
    </row>
    <row r="86" spans="1:21" x14ac:dyDescent="0.4"/>
    <row r="87" spans="1:21" x14ac:dyDescent="0.4">
      <c r="A87" s="86" t="s">
        <v>210</v>
      </c>
      <c r="B87" s="86" t="s">
        <v>211</v>
      </c>
      <c r="C87" s="86" t="s">
        <v>183</v>
      </c>
      <c r="D87" s="86" t="s">
        <v>3</v>
      </c>
      <c r="E87" s="86"/>
      <c r="F87" s="86" t="s">
        <v>212</v>
      </c>
      <c r="G87" s="86" t="s">
        <v>211</v>
      </c>
      <c r="H87" s="86" t="s">
        <v>183</v>
      </c>
      <c r="I87" s="86" t="s">
        <v>3</v>
      </c>
      <c r="J87" s="86" t="s">
        <v>213</v>
      </c>
    </row>
    <row r="88" spans="1:21" x14ac:dyDescent="0.4">
      <c r="A88" s="88">
        <f>IF(ISERROR(RANK(C88,$C$88:$C$99,1)+COUNTIF($C$88:$C88,C88)-1),"",RANK(C88,$C$88:$C$99,1)+COUNTIF($C$88:$C88,C88)-1)</f>
        <v>9</v>
      </c>
      <c r="B88" s="88" t="str">
        <f>IF(最新日彙整!X5&lt;0,"自營商Sell-Call","自營商Buy-Call")</f>
        <v>自營商Sell-Call</v>
      </c>
      <c r="C88" s="88">
        <f>最新日彙整!Z5</f>
        <v>16750</v>
      </c>
      <c r="D88" s="88">
        <f>最新日彙整!X5</f>
        <v>-4986</v>
      </c>
      <c r="E88" s="88"/>
      <c r="F88" s="88">
        <v>1</v>
      </c>
      <c r="G88" s="88" t="str">
        <f t="shared" ref="G88:G99" si="9">IF(ISERROR(VLOOKUP($F88,$A$88:$D$99,2,0)),"",VLOOKUP($F88,$A$88:$D$99,2,0))</f>
        <v>自營商Buy大台</v>
      </c>
      <c r="H88" s="88">
        <f t="shared" ref="H88:H99" si="10">IF(ISERROR(VLOOKUP($F88,$A$88:$D$99,3,0)),"",VLOOKUP($F88,$A$88:$D$99,3,0))</f>
        <v>16682.280477408356</v>
      </c>
      <c r="I88" s="88">
        <f t="shared" ref="I88:I99" si="11">IF(ISERROR(VLOOKUP($F88,$A$88:$D$99,4,0)),"",VLOOKUP($F88,$A$88:$D$99,4,0))</f>
        <v>13283</v>
      </c>
      <c r="J88" s="88">
        <f>I88</f>
        <v>13283</v>
      </c>
      <c r="K88" s="88"/>
      <c r="L88" s="88"/>
      <c r="M88" s="88"/>
      <c r="N88" s="88"/>
      <c r="O88" s="88"/>
      <c r="P88" s="88"/>
      <c r="Q88" s="88"/>
      <c r="R88" s="88"/>
      <c r="S88" s="89"/>
      <c r="T88" s="89"/>
      <c r="U88" s="89"/>
    </row>
    <row r="89" spans="1:21" x14ac:dyDescent="0.4">
      <c r="A89" s="88" t="str">
        <f>IF(ISERROR(RANK(C89,$C$88:$C$99,1)+COUNTIF($C$88:$C89,C89)-1),"",RANK(C89,$C$88:$C$99,1)+COUNTIF($C$88:$C89,C89)-1)</f>
        <v/>
      </c>
      <c r="B89" s="88" t="str">
        <f>IF(最新日彙整!X6&lt;0,"投信Sell-Call","投信Buy-Call")</f>
        <v>投信Buy-Call</v>
      </c>
      <c r="C89" s="88" t="str">
        <f>最新日彙整!Z6</f>
        <v/>
      </c>
      <c r="D89" s="88">
        <f>最新日彙整!X6</f>
        <v>0</v>
      </c>
      <c r="E89" s="88"/>
      <c r="F89" s="88">
        <v>2</v>
      </c>
      <c r="G89" s="88" t="str">
        <f t="shared" si="9"/>
        <v>自營商Buy小台</v>
      </c>
      <c r="H89" s="88">
        <f t="shared" si="10"/>
        <v>16688.657003591583</v>
      </c>
      <c r="I89" s="88">
        <f t="shared" si="11"/>
        <v>2558</v>
      </c>
      <c r="J89" s="88"/>
      <c r="K89" s="88">
        <f>I89</f>
        <v>2558</v>
      </c>
      <c r="L89" s="88"/>
      <c r="M89" s="88"/>
      <c r="N89" s="88"/>
      <c r="O89" s="88"/>
      <c r="P89" s="88"/>
      <c r="Q89" s="88"/>
      <c r="R89" s="88"/>
      <c r="S89" s="89"/>
      <c r="T89" s="89"/>
      <c r="U89" s="89"/>
    </row>
    <row r="90" spans="1:21" x14ac:dyDescent="0.4">
      <c r="A90" s="88">
        <f>IF(ISERROR(RANK(C90,$C$88:$C$99,1)+COUNTIF($C$88:$C90,C90)-1),"",RANK(C90,$C$88:$C$99,1)+COUNTIF($C$88:$C90,C90)-1)</f>
        <v>4</v>
      </c>
      <c r="B90" s="88" t="str">
        <f>IF(最新日彙整!X7&lt;0,"外資Sell-Call","外資Buy-Call")</f>
        <v>外資Buy-Call</v>
      </c>
      <c r="C90" s="88">
        <f>最新日彙整!Z7</f>
        <v>16700</v>
      </c>
      <c r="D90" s="88">
        <f>最新日彙整!X7</f>
        <v>20911</v>
      </c>
      <c r="E90" s="88"/>
      <c r="F90" s="88">
        <v>3</v>
      </c>
      <c r="G90" s="88" t="str">
        <f t="shared" si="9"/>
        <v>外資Sell大台</v>
      </c>
      <c r="H90" s="88">
        <f t="shared" si="10"/>
        <v>16699.452646239555</v>
      </c>
      <c r="I90" s="88">
        <f t="shared" si="11"/>
        <v>-19002</v>
      </c>
      <c r="J90" s="88"/>
      <c r="K90" s="88"/>
      <c r="L90" s="88">
        <f>I90</f>
        <v>-19002</v>
      </c>
      <c r="M90" s="88"/>
      <c r="N90" s="88"/>
      <c r="O90" s="88"/>
      <c r="P90" s="88"/>
      <c r="Q90" s="88"/>
      <c r="R90" s="88"/>
      <c r="S90" s="89"/>
      <c r="T90" s="89"/>
      <c r="U90" s="89"/>
    </row>
    <row r="91" spans="1:21" x14ac:dyDescent="0.4">
      <c r="A91" s="88">
        <f>IF(ISERROR(RANK(C91,$C$88:$C$99,1)+COUNTIF($C$88:$C91,C91)-1),"",RANK(C91,$C$88:$C$99,1)+COUNTIF($C$88:$C91,C91)-1)</f>
        <v>5</v>
      </c>
      <c r="B91" s="88" t="str">
        <f>IF(最新日彙整!X8&gt;0,"自營商Buy-Put","自營商Sell-Put")</f>
        <v>自營商Sell-Put</v>
      </c>
      <c r="C91" s="88">
        <f>最新日彙整!Z8</f>
        <v>16700</v>
      </c>
      <c r="D91" s="88">
        <f>最新日彙整!X8*-1</f>
        <v>6154</v>
      </c>
      <c r="E91" s="88"/>
      <c r="F91" s="88">
        <v>4</v>
      </c>
      <c r="G91" s="88" t="str">
        <f t="shared" si="9"/>
        <v>外資Buy-Call</v>
      </c>
      <c r="H91" s="88">
        <f t="shared" si="10"/>
        <v>16700</v>
      </c>
      <c r="I91" s="88">
        <f t="shared" si="11"/>
        <v>20911</v>
      </c>
      <c r="J91" s="88"/>
      <c r="K91" s="88"/>
      <c r="L91" s="88"/>
      <c r="M91" s="88">
        <f>I91</f>
        <v>20911</v>
      </c>
      <c r="N91" s="88"/>
      <c r="O91" s="88"/>
      <c r="P91" s="88"/>
      <c r="Q91" s="88"/>
      <c r="R91" s="88"/>
      <c r="S91" s="89"/>
      <c r="T91" s="89"/>
      <c r="U91" s="89"/>
    </row>
    <row r="92" spans="1:21" x14ac:dyDescent="0.4">
      <c r="A92" s="88">
        <f>IF(ISERROR(RANK(C92,$C$88:$C$99,1)+COUNTIF($C$88:$C92,C92)-1),"",RANK(C92,$C$88:$C$99,1)+COUNTIF($C$88:$C92,C92)-1)</f>
        <v>11</v>
      </c>
      <c r="B92" s="88" t="str">
        <f>IF(最新日彙整!X9&gt;0,"投信Buy-Put","投信Sell-Put")</f>
        <v>投信Sell-Put</v>
      </c>
      <c r="C92" s="88">
        <f>最新日彙整!Z9</f>
        <v>17250</v>
      </c>
      <c r="D92" s="88">
        <f>最新日彙整!X9*-1</f>
        <v>60</v>
      </c>
      <c r="E92" s="88"/>
      <c r="F92" s="88">
        <v>5</v>
      </c>
      <c r="G92" s="88" t="str">
        <f t="shared" si="9"/>
        <v>自營商Sell-Put</v>
      </c>
      <c r="H92" s="88">
        <f t="shared" si="10"/>
        <v>16700</v>
      </c>
      <c r="I92" s="88">
        <f t="shared" si="11"/>
        <v>6154</v>
      </c>
      <c r="J92" s="88"/>
      <c r="K92" s="88"/>
      <c r="L92" s="88"/>
      <c r="M92" s="88"/>
      <c r="N92" s="88">
        <f>I92</f>
        <v>6154</v>
      </c>
      <c r="O92" s="88"/>
      <c r="P92" s="88"/>
      <c r="Q92" s="88"/>
      <c r="R92" s="88"/>
      <c r="S92" s="89"/>
      <c r="T92" s="89"/>
      <c r="U92" s="89"/>
    </row>
    <row r="93" spans="1:21" x14ac:dyDescent="0.4">
      <c r="A93" s="88">
        <f>IF(ISERROR(RANK(C93,$C$88:$C$99,1)+COUNTIF($C$88:$C93,C93)-1),"",RANK(C93,$C$88:$C$99,1)+COUNTIF($C$88:$C93,C93)-1)</f>
        <v>10</v>
      </c>
      <c r="B93" s="88" t="str">
        <f>IF(最新日彙整!X10&gt;0,"外資Buy-Put","外資Sell-Put")</f>
        <v>外資Buy-Put</v>
      </c>
      <c r="C93" s="88">
        <f>最新日彙整!Z10</f>
        <v>16750</v>
      </c>
      <c r="D93" s="88">
        <f>最新日彙整!X10*-1</f>
        <v>-41788</v>
      </c>
      <c r="E93" s="88"/>
      <c r="F93" s="88">
        <v>6</v>
      </c>
      <c r="G93" s="88" t="str">
        <f t="shared" si="9"/>
        <v>投信Sell大台</v>
      </c>
      <c r="H93" s="88">
        <f t="shared" si="10"/>
        <v>16701.498127340823</v>
      </c>
      <c r="I93" s="88">
        <f t="shared" si="11"/>
        <v>-3665</v>
      </c>
      <c r="J93" s="88"/>
      <c r="K93" s="88"/>
      <c r="L93" s="88"/>
      <c r="M93" s="88"/>
      <c r="N93" s="88"/>
      <c r="O93" s="88">
        <f>I93</f>
        <v>-3665</v>
      </c>
      <c r="P93" s="88"/>
      <c r="Q93" s="88"/>
      <c r="R93" s="88"/>
      <c r="S93" s="89"/>
      <c r="T93" s="89"/>
      <c r="U93" s="89"/>
    </row>
    <row r="94" spans="1:21" x14ac:dyDescent="0.4">
      <c r="A94" s="88">
        <f>IF(ISERROR(RANK(C94,$C$88:$C$99,1)+COUNTIF($C$88:$C94,C94)-1),"",RANK(C94,$C$88:$C$99,1)+COUNTIF($C$88:$C94,C94)-1)</f>
        <v>1</v>
      </c>
      <c r="B94" s="88" t="str">
        <f>IF(最新日彙整!X15=0,"",IF(最新日彙整!X15&gt;0,"自營商Buy大台","自營商Sell大台"))</f>
        <v>自營商Buy大台</v>
      </c>
      <c r="C94" s="88">
        <f>最新日彙整!Z15</f>
        <v>16682.280477408356</v>
      </c>
      <c r="D94" s="88">
        <f>最新日彙整!X15</f>
        <v>13283</v>
      </c>
      <c r="E94" s="88"/>
      <c r="F94" s="88">
        <v>7</v>
      </c>
      <c r="G94" s="88" t="str">
        <f t="shared" si="9"/>
        <v>投信Buy小台</v>
      </c>
      <c r="H94" s="88">
        <f t="shared" si="10"/>
        <v>16713.937007874014</v>
      </c>
      <c r="I94" s="88">
        <f t="shared" si="11"/>
        <v>254</v>
      </c>
      <c r="J94" s="88"/>
      <c r="K94" s="88"/>
      <c r="L94" s="88"/>
      <c r="M94" s="88"/>
      <c r="N94" s="88"/>
      <c r="O94" s="88"/>
      <c r="P94" s="88">
        <f>I94</f>
        <v>254</v>
      </c>
      <c r="Q94" s="88"/>
      <c r="R94" s="88"/>
      <c r="S94" s="89"/>
      <c r="T94" s="89"/>
      <c r="U94" s="89"/>
    </row>
    <row r="95" spans="1:21" x14ac:dyDescent="0.4">
      <c r="A95" s="88">
        <f>IF(ISERROR(RANK(C95,$C$88:$C$99,1)+COUNTIF($C$88:$C95,C95)-1),"",RANK(C95,$C$88:$C$99,1)+COUNTIF($C$88:$C95,C95)-1)</f>
        <v>6</v>
      </c>
      <c r="B95" s="88" t="str">
        <f>IF(最新日彙整!X16=0,"",IF(最新日彙整!X16&gt;0,"投信Buy大台","投信Sell大台"))</f>
        <v>投信Sell大台</v>
      </c>
      <c r="C95" s="88">
        <f>最新日彙整!Z16</f>
        <v>16701.498127340823</v>
      </c>
      <c r="D95" s="88">
        <f>最新日彙整!X16</f>
        <v>-3665</v>
      </c>
      <c r="E95" s="88"/>
      <c r="F95" s="88">
        <v>8</v>
      </c>
      <c r="G95" s="88" t="str">
        <f t="shared" si="9"/>
        <v>外資Sell小台</v>
      </c>
      <c r="H95" s="88">
        <f t="shared" si="10"/>
        <v>16717.38311635143</v>
      </c>
      <c r="I95" s="88">
        <f t="shared" si="11"/>
        <v>-8190</v>
      </c>
      <c r="J95" s="88"/>
      <c r="K95" s="88"/>
      <c r="L95" s="88"/>
      <c r="M95" s="88"/>
      <c r="N95" s="88"/>
      <c r="O95" s="88"/>
      <c r="P95" s="88"/>
      <c r="Q95" s="88">
        <f>I95</f>
        <v>-8190</v>
      </c>
      <c r="R95" s="88"/>
      <c r="S95" s="89"/>
      <c r="T95" s="89"/>
      <c r="U95" s="89"/>
    </row>
    <row r="96" spans="1:21" x14ac:dyDescent="0.4">
      <c r="A96" s="88">
        <f>IF(ISERROR(RANK(C96,$C$88:$C$99,1)+COUNTIF($C$88:$C96,C96)-1),"",RANK(C96,$C$88:$C$99,1)+COUNTIF($C$88:$C96,C96)-1)</f>
        <v>3</v>
      </c>
      <c r="B96" s="88" t="str">
        <f>IF(最新日彙整!X17=0,"",IF(最新日彙整!X17&gt;0,"外資Buy大台","外資Sell大台"))</f>
        <v>外資Sell大台</v>
      </c>
      <c r="C96" s="88">
        <f>最新日彙整!Z17</f>
        <v>16699.452646239555</v>
      </c>
      <c r="D96" s="88">
        <f>最新日彙整!X17</f>
        <v>-19002</v>
      </c>
      <c r="E96" s="88"/>
      <c r="F96" s="88">
        <v>9</v>
      </c>
      <c r="G96" s="88" t="str">
        <f t="shared" si="9"/>
        <v>自營商Sell-Call</v>
      </c>
      <c r="H96" s="88">
        <f t="shared" si="10"/>
        <v>16750</v>
      </c>
      <c r="I96" s="88">
        <f t="shared" si="11"/>
        <v>-4986</v>
      </c>
      <c r="J96" s="88"/>
      <c r="K96" s="88"/>
      <c r="L96" s="88"/>
      <c r="M96" s="88"/>
      <c r="N96" s="88"/>
      <c r="O96" s="88"/>
      <c r="P96" s="88"/>
      <c r="Q96" s="88"/>
      <c r="R96" s="88">
        <f>I96</f>
        <v>-4986</v>
      </c>
      <c r="S96" s="89"/>
      <c r="T96" s="89"/>
      <c r="U96" s="89"/>
    </row>
    <row r="97" spans="1:21" x14ac:dyDescent="0.4">
      <c r="A97" s="88">
        <f>IF(ISERROR(RANK(C97,$C$88:$C$99,1)+COUNTIF($C$88:$C97,C97)-1),"",RANK(C97,$C$88:$C$99,1)+COUNTIF($C$88:$C97,C97)-1)</f>
        <v>2</v>
      </c>
      <c r="B97" s="88" t="str">
        <f>IF(最新日彙整!X24=0,"",IF(最新日彙整!X24&gt;0,"自營商Buy小台","自營商Sell小台"))</f>
        <v>自營商Buy小台</v>
      </c>
      <c r="C97" s="88">
        <f>最新日彙整!Z24</f>
        <v>16688.657003591583</v>
      </c>
      <c r="D97" s="88">
        <f>最新日彙整!X24</f>
        <v>2558</v>
      </c>
      <c r="F97" s="88">
        <v>10</v>
      </c>
      <c r="G97" s="88" t="str">
        <f t="shared" si="9"/>
        <v>外資Buy-Put</v>
      </c>
      <c r="H97" s="88">
        <f t="shared" si="10"/>
        <v>16750</v>
      </c>
      <c r="I97" s="88">
        <f t="shared" si="11"/>
        <v>-41788</v>
      </c>
      <c r="J97" s="89"/>
      <c r="K97" s="89"/>
      <c r="L97" s="89"/>
      <c r="M97" s="89"/>
      <c r="N97" s="89"/>
      <c r="O97" s="89"/>
      <c r="P97" s="89"/>
      <c r="Q97" s="89"/>
      <c r="R97" s="89"/>
      <c r="S97" s="89">
        <f>I97</f>
        <v>-41788</v>
      </c>
      <c r="T97" s="89"/>
      <c r="U97" s="89"/>
    </row>
    <row r="98" spans="1:21" x14ac:dyDescent="0.4">
      <c r="A98" s="88">
        <f>IF(ISERROR(RANK(C98,$C$88:$C$99,1)+COUNTIF($C$88:$C98,C98)-1),"",RANK(C98,$C$88:$C$99,1)+COUNTIF($C$88:$C98,C98)-1)</f>
        <v>7</v>
      </c>
      <c r="B98" s="88" t="str">
        <f>IF(最新日彙整!X25=0,"",IF(最新日彙整!X25&gt;0,"投信Buy小台","投信Sell小台"))</f>
        <v>投信Buy小台</v>
      </c>
      <c r="C98" s="88">
        <f>最新日彙整!Z25</f>
        <v>16713.937007874014</v>
      </c>
      <c r="D98" s="88">
        <f>最新日彙整!X25</f>
        <v>254</v>
      </c>
      <c r="F98" s="88">
        <v>11</v>
      </c>
      <c r="G98" s="88" t="str">
        <f t="shared" si="9"/>
        <v>投信Sell-Put</v>
      </c>
      <c r="H98" s="88">
        <f t="shared" si="10"/>
        <v>17250</v>
      </c>
      <c r="I98" s="88">
        <f t="shared" si="11"/>
        <v>60</v>
      </c>
      <c r="J98" s="89"/>
      <c r="K98" s="89"/>
      <c r="L98" s="89"/>
      <c r="M98" s="89"/>
      <c r="N98" s="89"/>
      <c r="O98" s="89"/>
      <c r="P98" s="89"/>
      <c r="Q98" s="89"/>
      <c r="R98" s="89"/>
      <c r="S98" s="89"/>
      <c r="T98" s="89">
        <f>I98</f>
        <v>60</v>
      </c>
      <c r="U98" s="89"/>
    </row>
    <row r="99" spans="1:21" x14ac:dyDescent="0.4">
      <c r="A99" s="88">
        <f>IF(ISERROR(RANK(C99,$C$88:$C$99,1)+COUNTIF($C$88:$C99,C99)-1),"",RANK(C99,$C$88:$C$99,1)+COUNTIF($C$88:$C99,C99)-1)</f>
        <v>8</v>
      </c>
      <c r="B99" s="88" t="str">
        <f>IF(最新日彙整!X26=0,"",IF(最新日彙整!X26&gt;0,"外資Buy小台","外資Sell小台"))</f>
        <v>外資Sell小台</v>
      </c>
      <c r="C99" s="88">
        <f>最新日彙整!Z26</f>
        <v>16717.38311635143</v>
      </c>
      <c r="D99" s="88">
        <f>最新日彙整!X26</f>
        <v>-8190</v>
      </c>
      <c r="F99" s="88">
        <v>12</v>
      </c>
      <c r="G99" s="88" t="str">
        <f t="shared" si="9"/>
        <v/>
      </c>
      <c r="H99" s="88" t="str">
        <f t="shared" si="10"/>
        <v/>
      </c>
      <c r="I99" s="88" t="str">
        <f t="shared" si="11"/>
        <v/>
      </c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 t="str">
        <f>I99</f>
        <v/>
      </c>
    </row>
    <row r="100" spans="1:21" x14ac:dyDescent="0.4"/>
    <row r="101" spans="1:21" x14ac:dyDescent="0.4">
      <c r="A101" s="86" t="s">
        <v>210</v>
      </c>
      <c r="B101" s="86" t="s">
        <v>211</v>
      </c>
      <c r="C101" s="86" t="s">
        <v>183</v>
      </c>
      <c r="D101" s="86" t="s">
        <v>3</v>
      </c>
      <c r="E101" s="86"/>
      <c r="F101" s="86" t="s">
        <v>212</v>
      </c>
      <c r="G101" s="86" t="s">
        <v>211</v>
      </c>
      <c r="H101" s="86" t="s">
        <v>183</v>
      </c>
      <c r="I101" s="86" t="s">
        <v>3</v>
      </c>
      <c r="J101" s="86" t="s">
        <v>213</v>
      </c>
    </row>
    <row r="102" spans="1:21" x14ac:dyDescent="0.4">
      <c r="A102" s="88">
        <f>IF(ISERROR(RANK(C102,C102:C104,1)+COUNTIF(C102:C102,C102)-1),"",RANK(C102,C102:C104,1)+COUNTIF(C102:C102,C102)-1)</f>
        <v>1</v>
      </c>
      <c r="B102" s="88" t="str">
        <f>IF(D102&lt;0,"自營商Sell電子期","自營商Buy電子期")</f>
        <v>自營商Buy電子期</v>
      </c>
      <c r="C102" s="88">
        <f>最新日彙整!Z18</f>
        <v>788.57651991614262</v>
      </c>
      <c r="D102" s="88">
        <f>最新日彙整!X18</f>
        <v>4</v>
      </c>
      <c r="F102" s="88">
        <v>1</v>
      </c>
      <c r="G102" s="88" t="str">
        <f>IF(ISERROR(VLOOKUP(F102,A102:D104,2,0)),"",VLOOKUP(F102,A102:D104,2,0))</f>
        <v>自營商Buy電子期</v>
      </c>
      <c r="H102" s="88">
        <f>IF(ISERROR(VLOOKUP(F102,A102:D104,3,0)),"",VLOOKUP(F102,A102:D104,3,0))</f>
        <v>788.57651991614262</v>
      </c>
      <c r="I102" s="88">
        <f>IF(ISERROR(VLOOKUP(F102,A102:D104,4,0)),"",VLOOKUP(F102,A102:D104,4,0))</f>
        <v>4</v>
      </c>
      <c r="J102" s="88">
        <f>I102</f>
        <v>4</v>
      </c>
      <c r="K102" s="88"/>
      <c r="L102" s="88"/>
    </row>
    <row r="103" spans="1:21" x14ac:dyDescent="0.4">
      <c r="A103" s="88">
        <f>IF(ISERROR(RANK(C103,C102:C104,1)+COUNTIF(C102:C103,C103)-1),"",RANK(C103,C102:C104,1)+COUNTIF(C102:C103,C103)-1)</f>
        <v>2</v>
      </c>
      <c r="B103" s="88" t="str">
        <f>IF(D103&lt;0,"投信Sell電子期","投信Buy電子期")</f>
        <v>投信Buy電子期</v>
      </c>
      <c r="C103" s="88">
        <f>最新日彙整!Z19</f>
        <v>788.7893939393939</v>
      </c>
      <c r="D103" s="88">
        <f>最新日彙整!X19</f>
        <v>165</v>
      </c>
      <c r="F103" s="88">
        <v>2</v>
      </c>
      <c r="G103" s="88" t="str">
        <f>IF(ISERROR(VLOOKUP(F103,A102:D104,2,0)),"",VLOOKUP(F103,A102:D104,2,0))</f>
        <v>投信Buy電子期</v>
      </c>
      <c r="H103" s="88">
        <f>IF(ISERROR(VLOOKUP(F103,A102:D104,3,0)),"",VLOOKUP(F103,A102:D104,3,0))</f>
        <v>788.7893939393939</v>
      </c>
      <c r="I103" s="88">
        <f>IF(ISERROR(VLOOKUP(F103,A102:D104,4,0)),"",VLOOKUP(F103,A102:D104,4,0))</f>
        <v>165</v>
      </c>
      <c r="J103" s="88"/>
      <c r="K103" s="88">
        <f>I103</f>
        <v>165</v>
      </c>
      <c r="L103" s="88"/>
    </row>
    <row r="104" spans="1:21" x14ac:dyDescent="0.4">
      <c r="A104" s="88">
        <f>IF(ISERROR(RANK(C104,C102:C104,1)+COUNTIF(C102:C104,C104)-1),"",RANK(C104,C102:C104,1)+COUNTIF(C102:C104,C104)-1)</f>
        <v>3</v>
      </c>
      <c r="B104" s="88" t="str">
        <f>IF(D104&lt;0,"外資Sell電子期","外資Buy電子期")</f>
        <v>外資Buy電子期</v>
      </c>
      <c r="C104" s="88">
        <f>最新日彙整!Z20</f>
        <v>788.90208078335377</v>
      </c>
      <c r="D104" s="88">
        <f>最新日彙整!X20</f>
        <v>343</v>
      </c>
      <c r="F104" s="88">
        <v>3</v>
      </c>
      <c r="G104" s="88" t="str">
        <f>IF(ISERROR(VLOOKUP(F104,A102:D104,2,0)),"",VLOOKUP(F104,A102:D104,2,0))</f>
        <v>外資Buy電子期</v>
      </c>
      <c r="H104" s="88">
        <f>IF(ISERROR(VLOOKUP(F104,A102:D104,3,0)),"",VLOOKUP(F104,A102:D104,3,0))</f>
        <v>788.90208078335377</v>
      </c>
      <c r="I104" s="88">
        <f>IF(ISERROR(VLOOKUP(F104,A102:D104,4,0)),"",VLOOKUP(F104,A102:D104,4,0))</f>
        <v>343</v>
      </c>
      <c r="J104" s="88"/>
      <c r="K104" s="88"/>
      <c r="L104" s="88">
        <f>I104</f>
        <v>343</v>
      </c>
    </row>
    <row r="105" spans="1:21" x14ac:dyDescent="0.4">
      <c r="A105" s="88">
        <f>IF(ISERROR(RANK(C105,C105:C107,1)+COUNTIF(C105:C105,C105)-1),"",RANK(C105,C105:C107,1)+COUNTIF(C105:C105,C105)-1)</f>
        <v>1</v>
      </c>
      <c r="B105" s="88" t="str">
        <f>IF(D105&lt;0,"自營商Sell金融期","自營商Buy金融期")</f>
        <v>自營商Buy金融期</v>
      </c>
      <c r="C105" s="88">
        <f>最新日彙整!Z21</f>
        <v>1599.5214592274679</v>
      </c>
      <c r="D105" s="88">
        <f>最新日彙整!X21</f>
        <v>192</v>
      </c>
      <c r="F105" s="88">
        <v>1</v>
      </c>
      <c r="G105" s="88" t="str">
        <f>IF(ISERROR(VLOOKUP(F105,A105:D107,2,0)),"",VLOOKUP(F105,A105:D107,2,0))</f>
        <v>自營商Buy金融期</v>
      </c>
      <c r="H105" s="88">
        <f>IF(ISERROR(VLOOKUP(F105,A105:D107,3,0)),"",VLOOKUP(F105,A105:D107,3,0))</f>
        <v>1599.5214592274679</v>
      </c>
      <c r="I105" s="88">
        <f>IF(ISERROR(VLOOKUP(F105,A105:D107,4,0)),"",VLOOKUP(F105,A105:D107,4,0))</f>
        <v>192</v>
      </c>
      <c r="J105" s="88">
        <f>I105</f>
        <v>192</v>
      </c>
      <c r="K105" s="88"/>
      <c r="L105" s="88"/>
    </row>
    <row r="106" spans="1:21" x14ac:dyDescent="0.4">
      <c r="A106" s="88">
        <f>IF(ISERROR(RANK(C106,C105:C107,1)+COUNTIF(C105:C106,C106)-1),"",RANK(C106,C105:C107,1)+COUNTIF(C105:C106,C106)-1)</f>
        <v>3</v>
      </c>
      <c r="B106" s="88" t="str">
        <f>IF(D106&lt;0,"投信Sell金融期","投信Buy金融期")</f>
        <v>投信Buy金融期</v>
      </c>
      <c r="C106" s="88">
        <f>最新日彙整!Z22</f>
        <v>1600.2083333333333</v>
      </c>
      <c r="D106" s="88">
        <f>最新日彙整!X22</f>
        <v>24</v>
      </c>
      <c r="F106" s="88">
        <v>2</v>
      </c>
      <c r="G106" s="88" t="str">
        <f>IF(ISERROR(VLOOKUP(F106,A105:D107,2,0)),"",VLOOKUP(F106,A105:D107,2,0))</f>
        <v>外資Sell金融期</v>
      </c>
      <c r="H106" s="88">
        <f>IF(ISERROR(VLOOKUP(F106,A105:D107,3,0)),"",VLOOKUP(F106,A105:D107,3,0))</f>
        <v>1599.5914121292608</v>
      </c>
      <c r="I106" s="88">
        <f>IF(ISERROR(VLOOKUP(F106,A105:D107,4,0)),"",VLOOKUP(F106,A105:D107,4,0))</f>
        <v>-1642</v>
      </c>
      <c r="J106" s="88"/>
      <c r="K106" s="88">
        <f>I106</f>
        <v>-1642</v>
      </c>
      <c r="L106" s="88"/>
    </row>
    <row r="107" spans="1:21" x14ac:dyDescent="0.4">
      <c r="A107" s="88">
        <f>IF(ISERROR(RANK(C107,C105:C107,1)+COUNTIF(C105:C107,C107)-1),"",RANK(C107,C105:C107,1)+COUNTIF(C105:C107,C107)-1)</f>
        <v>2</v>
      </c>
      <c r="B107" s="88" t="str">
        <f>IF(D107&lt;0,"外資Sell金融期","外資Buy金融期")</f>
        <v>外資Sell金融期</v>
      </c>
      <c r="C107" s="88">
        <f>最新日彙整!Z23</f>
        <v>1599.5914121292608</v>
      </c>
      <c r="D107" s="88">
        <f>最新日彙整!X23</f>
        <v>-1642</v>
      </c>
      <c r="F107" s="88">
        <v>3</v>
      </c>
      <c r="G107" s="88" t="str">
        <f>IF(ISERROR(VLOOKUP(F107,A105:D107,2,0)),"",VLOOKUP(F107,A105:D107,2,0))</f>
        <v>投信Buy金融期</v>
      </c>
      <c r="H107" s="88">
        <f>IF(ISERROR(VLOOKUP(F107,A105:D107,3,0)),"",VLOOKUP(F107,A105:D107,3,0))</f>
        <v>1600.2083333333333</v>
      </c>
      <c r="I107" s="88">
        <f>IF(ISERROR(VLOOKUP(F107,A105:D107,4,0)),"",VLOOKUP(F107,A105:D107,4,0))</f>
        <v>24</v>
      </c>
      <c r="J107" s="88"/>
      <c r="K107" s="88"/>
      <c r="L107" s="88">
        <f>I107</f>
        <v>24</v>
      </c>
    </row>
    <row r="108" spans="1:21" x14ac:dyDescent="0.4">
      <c r="A108" s="88">
        <f>IF(ISERROR(RANK(C108,C108:C110,1)+COUNTIF(C108:C108,C108)-1),"",RANK(C108,C108:C110,1)+COUNTIF(C108:C108,C108)-1)</f>
        <v>1</v>
      </c>
      <c r="B108" s="88" t="str">
        <f>IF(D108&lt;0,"自營商Sell台灣50期","自營商Buy台灣50期")</f>
        <v>自營商Buy台灣50期</v>
      </c>
      <c r="C108" s="88">
        <f>最新日彙整!Z27</f>
        <v>7889.7560975609758</v>
      </c>
      <c r="D108" s="88">
        <f>最新日彙整!X27</f>
        <v>78</v>
      </c>
      <c r="F108" s="88">
        <v>1</v>
      </c>
      <c r="G108" s="88" t="str">
        <f>IF(ISERROR(VLOOKUP(F108,A108:D110,2,0)),"",VLOOKUP(F108,A108:D110,2,0))</f>
        <v>自營商Buy台灣50期</v>
      </c>
      <c r="H108" s="88">
        <f>IF(ISERROR(VLOOKUP(F108,A108:D110,3,0)),"",VLOOKUP(F108,A108:D110,3,0))</f>
        <v>7889.7560975609758</v>
      </c>
      <c r="I108" s="88">
        <f>IF(ISERROR(VLOOKUP(F108,A108:D110,4,0)),"",VLOOKUP(F108,A108:D110,4,0))</f>
        <v>78</v>
      </c>
      <c r="J108" s="88">
        <f>I108</f>
        <v>78</v>
      </c>
      <c r="K108" s="88"/>
      <c r="L108" s="88"/>
    </row>
    <row r="109" spans="1:21" x14ac:dyDescent="0.4">
      <c r="A109" s="88" t="str">
        <f>IF(ISERROR(RANK(C109,C108:C110,1)+COUNTIF(C108:C109,C109)-1),"",RANK(C109,C108:C110,1)+COUNTIF(C108:C109,C109)-1)</f>
        <v/>
      </c>
      <c r="B109" s="88" t="str">
        <f>IF(D109&lt;0,"投信Sell台灣50期","投信Buy台灣50期")</f>
        <v>投信Buy台灣50期</v>
      </c>
      <c r="C109" s="88" t="str">
        <f>最新日彙整!Z28</f>
        <v/>
      </c>
      <c r="D109" s="88">
        <f>最新日彙整!X28</f>
        <v>0</v>
      </c>
      <c r="F109" s="88">
        <v>2</v>
      </c>
      <c r="G109" s="88" t="str">
        <f>IF(ISERROR(VLOOKUP(F109,A108:D110,2,0)),"",VLOOKUP(F109,A108:D110,2,0))</f>
        <v>外資Buy台灣50期</v>
      </c>
      <c r="H109" s="88">
        <f>IF(ISERROR(VLOOKUP(F109,A108:D110,3,0)),"",VLOOKUP(F109,A108:D110,3,0))</f>
        <v>7891</v>
      </c>
      <c r="I109" s="88">
        <f>IF(ISERROR(VLOOKUP(F109,A108:D110,4,0)),"",VLOOKUP(F109,A108:D110,4,0))</f>
        <v>280</v>
      </c>
      <c r="J109" s="88"/>
      <c r="K109" s="88">
        <f>I109</f>
        <v>280</v>
      </c>
      <c r="L109" s="88"/>
    </row>
    <row r="110" spans="1:21" x14ac:dyDescent="0.4">
      <c r="A110" s="88">
        <f>IF(ISERROR(RANK(C110,C108:C110,1)+COUNTIF(C108:C110,C110)-1),"",RANK(C110,C108:C110,1)+COUNTIF(C108:C110,C110)-1)</f>
        <v>2</v>
      </c>
      <c r="B110" s="88" t="str">
        <f>IF(D110&lt;0,"外資Sell台灣50期","外資Buy台灣50期")</f>
        <v>外資Buy台灣50期</v>
      </c>
      <c r="C110" s="88">
        <f>最新日彙整!Z29</f>
        <v>7891</v>
      </c>
      <c r="D110" s="88">
        <f>最新日彙整!X29</f>
        <v>280</v>
      </c>
      <c r="F110" s="88">
        <v>3</v>
      </c>
      <c r="G110" s="88" t="str">
        <f>IF(ISERROR(VLOOKUP(F110,A108:D110,2,0)),"",VLOOKUP(F110,A108:D110,2,0))</f>
        <v/>
      </c>
      <c r="H110" s="88" t="str">
        <f>IF(ISERROR(VLOOKUP(F110,A108:D110,3,0)),"",VLOOKUP(F110,A108:D110,3,0))</f>
        <v/>
      </c>
      <c r="I110" s="88" t="str">
        <f>IF(ISERROR(VLOOKUP(F110,A108:D110,4,0)),"",VLOOKUP(F110,A108:D110,4,0))</f>
        <v/>
      </c>
      <c r="J110" s="88"/>
      <c r="K110" s="88"/>
      <c r="L110" s="88" t="str">
        <f>I110</f>
        <v/>
      </c>
    </row>
    <row r="111" spans="1:21" x14ac:dyDescent="0.4">
      <c r="A111" s="88">
        <f>IF(ISERROR(RANK(C111,C111:C113,1)+COUNTIF(C111:C111,C111)-1),"",RANK(C111,C111:C113,1)+COUNTIF(C111:C111,C111)-1)</f>
        <v>1</v>
      </c>
      <c r="B111" s="88" t="str">
        <f>IF(D111&lt;0,"自營商Sell股票期貨","自營商Buy股票期貨")</f>
        <v>自營商Sell股票期貨</v>
      </c>
      <c r="C111" s="88">
        <f>最新日彙整!Z30</f>
        <v>663.82203389830499</v>
      </c>
      <c r="D111" s="88">
        <f>最新日彙整!X30</f>
        <v>-17</v>
      </c>
      <c r="F111" s="88">
        <v>1</v>
      </c>
      <c r="G111" s="88" t="str">
        <f>IF(ISERROR(VLOOKUP(F111,A111:D113,2,0)),"",VLOOKUP(F111,A111:D113,2,0))</f>
        <v>自營商Sell股票期貨</v>
      </c>
      <c r="H111" s="88">
        <f>IF(ISERROR(VLOOKUP(F111,A111:D113,3,0)),"",VLOOKUP(F111,A111:D113,3,0))</f>
        <v>663.82203389830499</v>
      </c>
      <c r="I111" s="88">
        <f>IF(ISERROR(VLOOKUP(F111,A111:D113,4,0)),"",VLOOKUP(F111,A111:D113,4,0))</f>
        <v>-17</v>
      </c>
      <c r="J111" s="88">
        <f>I111</f>
        <v>-17</v>
      </c>
      <c r="K111" s="88"/>
      <c r="L111" s="88"/>
    </row>
    <row r="112" spans="1:21" x14ac:dyDescent="0.4">
      <c r="A112" s="88" t="str">
        <f>IF(ISERROR(RANK(C112,C111:C113,1)+COUNTIF(C111:C112,C112)-1),"",RANK(C112,C111:C113,1)+COUNTIF(C111:C112,C112)-1)</f>
        <v/>
      </c>
      <c r="B112" s="88" t="str">
        <f>IF(D112&lt;0,"投信Sell股票期貨","投信Buy股票期貨")</f>
        <v>投信Buy股票期貨</v>
      </c>
      <c r="C112" s="88" t="str">
        <f>最新日彙整!Z31</f>
        <v/>
      </c>
      <c r="D112" s="88">
        <f>最新日彙整!X31</f>
        <v>0</v>
      </c>
      <c r="F112" s="88">
        <v>2</v>
      </c>
      <c r="G112" s="88" t="str">
        <f>IF(ISERROR(VLOOKUP(F112,A111:D113,2,0)),"",VLOOKUP(F112,A111:D113,2,0))</f>
        <v/>
      </c>
      <c r="H112" s="88" t="str">
        <f>IF(ISERROR(VLOOKUP(F112,A111:D113,3,0)),"",VLOOKUP(F112,A111:D113,3,0))</f>
        <v/>
      </c>
      <c r="I112" s="88" t="str">
        <f>IF(ISERROR(VLOOKUP(F112,A111:D113,4,0)),"",VLOOKUP(F112,A111:D113,4,0))</f>
        <v/>
      </c>
      <c r="J112" s="88"/>
      <c r="K112" s="88" t="str">
        <f>I112</f>
        <v/>
      </c>
      <c r="L112" s="88"/>
    </row>
    <row r="113" spans="1:12" x14ac:dyDescent="0.4">
      <c r="A113" s="88" t="str">
        <f>IF(ISERROR(RANK(C113,C111:C113,1)+COUNTIF(C111:C113,C113)-1),"",RANK(C113,C111:C113,1)+COUNTIF(C111:C113,C113)-1)</f>
        <v/>
      </c>
      <c r="B113" s="88" t="str">
        <f>IF(D113&lt;0,"外資Sell股票期貨","外資Buy股票期貨")</f>
        <v>外資Buy股票期貨</v>
      </c>
      <c r="C113" s="88" t="str">
        <f>最新日彙整!Z32</f>
        <v/>
      </c>
      <c r="D113" s="88">
        <f>最新日彙整!X32</f>
        <v>0</v>
      </c>
      <c r="F113" s="88">
        <v>3</v>
      </c>
      <c r="G113" s="88" t="str">
        <f>IF(ISERROR(VLOOKUP(F113,A111:D113,2,0)),"",VLOOKUP(F113,A111:D113,2,0))</f>
        <v/>
      </c>
      <c r="H113" s="88" t="str">
        <f>IF(ISERROR(VLOOKUP(F113,A111:D113,3,0)),"",VLOOKUP(F113,A111:D113,3,0))</f>
        <v/>
      </c>
      <c r="I113" s="88" t="str">
        <f>IF(ISERROR(VLOOKUP(F113,A111:D113,4,0)),"",VLOOKUP(F113,A111:D113,4,0))</f>
        <v/>
      </c>
      <c r="J113" s="88"/>
      <c r="K113" s="88"/>
      <c r="L113" s="88" t="str">
        <f>I113</f>
        <v/>
      </c>
    </row>
    <row r="114" spans="1:12" x14ac:dyDescent="0.4">
      <c r="A114" s="88">
        <f>IF(ISERROR(RANK(C114,C114:C116,1)+COUNTIF(C114:C114,C114)-1),"",RANK(C114,C114:C116,1)+COUNTIF(C114:C114,C114)-1)</f>
        <v>1</v>
      </c>
      <c r="B114" s="88" t="str">
        <f>IF(D114&lt;0,"自營商Sell ETF期貨","自營商Buy ETF期貨")</f>
        <v>自營商Buy ETF期貨</v>
      </c>
      <c r="C114" s="88">
        <f>最新日彙整!Z33</f>
        <v>217.04813717810632</v>
      </c>
      <c r="D114" s="88">
        <f>最新日彙整!X33</f>
        <v>22538</v>
      </c>
      <c r="F114" s="88">
        <v>1</v>
      </c>
      <c r="G114" s="88" t="str">
        <f>IF(ISERROR(VLOOKUP(F114,A114:D116,2,0)),"",VLOOKUP(F114,A114:D116,2,0))</f>
        <v>自營商Buy ETF期貨</v>
      </c>
      <c r="H114" s="88">
        <f>IF(ISERROR(VLOOKUP(F114,A114:D116,3,0)),"",VLOOKUP(F114,A114:D116,3,0))</f>
        <v>217.04813717810632</v>
      </c>
      <c r="I114" s="88">
        <f>IF(ISERROR(VLOOKUP(F114,A114:D116,4,0)),"",VLOOKUP(F114,A114:D116,4,0))</f>
        <v>22538</v>
      </c>
      <c r="J114" s="88">
        <f>I114</f>
        <v>22538</v>
      </c>
      <c r="K114" s="88"/>
      <c r="L114" s="88"/>
    </row>
    <row r="115" spans="1:12" x14ac:dyDescent="0.4">
      <c r="A115" s="88" t="str">
        <f>IF(ISERROR(RANK(C115,C114:C116,1)+COUNTIF(C114:C115,C115)-1),"",RANK(C115,C114:C116,1)+COUNTIF(C114:C115,C115)-1)</f>
        <v/>
      </c>
      <c r="B115" s="88" t="str">
        <f>IF(D115&lt;0,"投信Sell ETF期貨","投信Buy ETF期貨")</f>
        <v>投信Buy ETF期貨</v>
      </c>
      <c r="C115" s="88" t="str">
        <f>最新日彙整!Z34</f>
        <v/>
      </c>
      <c r="D115" s="88">
        <f>最新日彙整!X34</f>
        <v>0</v>
      </c>
      <c r="F115" s="88">
        <v>2</v>
      </c>
      <c r="G115" s="88" t="str">
        <f>IF(ISERROR(VLOOKUP(F115,A114:D116,2,0)),"",VLOOKUP(F115,A114:D116,2,0))</f>
        <v>外資Sell ETF期貨</v>
      </c>
      <c r="H115" s="88">
        <f>IF(ISERROR(VLOOKUP(F115,A114:D116,3,0)),"",VLOOKUP(F115,A114:D116,3,0))</f>
        <v>269.23128669395811</v>
      </c>
      <c r="I115" s="88">
        <f>IF(ISERROR(VLOOKUP(F115,A114:D116,4,0)),"",VLOOKUP(F115,A114:D116,4,0))</f>
        <v>-221051</v>
      </c>
      <c r="J115" s="88"/>
      <c r="K115" s="88">
        <f>I115</f>
        <v>-221051</v>
      </c>
      <c r="L115" s="88"/>
    </row>
    <row r="116" spans="1:12" x14ac:dyDescent="0.4">
      <c r="A116" s="88">
        <f>IF(ISERROR(RANK(C116,C114:C116,1)+COUNTIF(C114:C116,C116)-1),"",RANK(C116,C114:C116,1)+COUNTIF(C114:C116,C116)-1)</f>
        <v>2</v>
      </c>
      <c r="B116" s="88" t="str">
        <f>IF(D116&lt;0,"外資Sell ETF期貨","外資Buy ETF期貨")</f>
        <v>外資Sell ETF期貨</v>
      </c>
      <c r="C116" s="88">
        <f>最新日彙整!Z35</f>
        <v>269.23128669395811</v>
      </c>
      <c r="D116" s="88">
        <f>最新日彙整!X35</f>
        <v>-221051</v>
      </c>
      <c r="F116" s="88">
        <v>3</v>
      </c>
      <c r="G116" s="88" t="str">
        <f>IF(ISERROR(VLOOKUP(F116,A114:D116,2,0)),"",VLOOKUP(F116,A114:D116,2,0))</f>
        <v/>
      </c>
      <c r="H116" s="88" t="str">
        <f>IF(ISERROR(VLOOKUP(F116,A114:D116,3,0)),"",VLOOKUP(F116,A114:D116,3,0))</f>
        <v/>
      </c>
      <c r="I116" s="88" t="str">
        <f>IF(ISERROR(VLOOKUP(F116,A114:D116,4,0)),"",VLOOKUP(F116,A114:D116,4,0))</f>
        <v/>
      </c>
      <c r="J116" s="88"/>
      <c r="K116" s="88"/>
      <c r="L116" s="88" t="str">
        <f>I116</f>
        <v/>
      </c>
    </row>
    <row r="117" spans="1:12" x14ac:dyDescent="0.4">
      <c r="A117" s="88">
        <f>IF(ISERROR(RANK(C117,C117:C119,1)+COUNTIF(C117:C117,C117)-1),"",RANK(C117,C117:C119,1)+COUNTIF(C117:C117,C117)-1)</f>
        <v>1</v>
      </c>
      <c r="B117" s="88" t="str">
        <f>IF(D117&lt;0,"自營商Sell櫃買指數期貨","自營商Buy櫃買指數期貨")</f>
        <v>自營商Sell櫃買指數期貨</v>
      </c>
      <c r="C117" s="88">
        <f>最新日彙整!Z36</f>
        <v>119.125</v>
      </c>
      <c r="D117" s="88">
        <f>最新日彙整!X36</f>
        <v>-756</v>
      </c>
      <c r="F117" s="88">
        <v>1</v>
      </c>
      <c r="G117" s="88" t="str">
        <f>IF(ISERROR(VLOOKUP(F117,A117:D119,2,0)),"",VLOOKUP(F117,A117:D119,2,0))</f>
        <v>自營商Sell櫃買指數期貨</v>
      </c>
      <c r="H117" s="88">
        <f>IF(ISERROR(VLOOKUP(F117,A117:D119,3,0)),"",VLOOKUP(F117,A117:D119,3,0))</f>
        <v>119.125</v>
      </c>
      <c r="I117" s="88">
        <f>IF(ISERROR(VLOOKUP(F117,A117:D119,4,0)),"",VLOOKUP(F117,A117:D119,4,0))</f>
        <v>-756</v>
      </c>
      <c r="J117" s="88">
        <f>I117</f>
        <v>-756</v>
      </c>
      <c r="K117" s="88"/>
      <c r="L117" s="88"/>
    </row>
    <row r="118" spans="1:12" x14ac:dyDescent="0.4">
      <c r="A118" s="88">
        <f>IF(ISERROR(RANK(C118,C117:C119,1)+COUNTIF(C117:C118,C118)-1),"",RANK(C118,C117:C119,1)+COUNTIF(C117:C118,C118)-1)</f>
        <v>2</v>
      </c>
      <c r="B118" s="88" t="str">
        <f>IF(D118&lt;0,"投信Sell櫃買指數期貨","投信Buy櫃買指數期貨")</f>
        <v>投信Buy櫃買指數期貨</v>
      </c>
      <c r="C118" s="88">
        <f>最新日彙整!Z37</f>
        <v>249.92085679806917</v>
      </c>
      <c r="D118" s="88">
        <f>最新日彙整!X37</f>
        <v>1180</v>
      </c>
      <c r="F118" s="88">
        <v>2</v>
      </c>
      <c r="G118" s="88" t="str">
        <f>IF(ISERROR(VLOOKUP(F118,A117:D119,2,0)),"",VLOOKUP(F118,A117:D119,2,0))</f>
        <v>投信Buy櫃買指數期貨</v>
      </c>
      <c r="H118" s="88">
        <f>IF(ISERROR(VLOOKUP(F118,A117:D119,3,0)),"",VLOOKUP(F118,A117:D119,3,0))</f>
        <v>249.92085679806917</v>
      </c>
      <c r="I118" s="88">
        <f>IF(ISERROR(VLOOKUP(F118,A117:D119,4,0)),"",VLOOKUP(F118,A117:D119,4,0))</f>
        <v>1180</v>
      </c>
      <c r="J118" s="88"/>
      <c r="K118" s="88">
        <f>I118</f>
        <v>1180</v>
      </c>
      <c r="L118" s="88"/>
    </row>
    <row r="119" spans="1:12" x14ac:dyDescent="0.4">
      <c r="A119" s="88">
        <f>IF(ISERROR(RANK(C119,C117:C119,1)+COUNTIF(C117:C119,C119)-1),"",RANK(C119,C117:C119,1)+COUNTIF(C117:C119,C119)-1)</f>
        <v>3</v>
      </c>
      <c r="B119" s="88" t="str">
        <f>IF(D119&lt;0,"外資Sell櫃買指數期貨","外資Buy櫃買指數期貨")</f>
        <v>外資Sell櫃買指數期貨</v>
      </c>
      <c r="C119" s="88">
        <f>最新日彙整!Z38</f>
        <v>302.57476298433636</v>
      </c>
      <c r="D119" s="88">
        <f>最新日彙整!X38</f>
        <v>-1596</v>
      </c>
      <c r="F119" s="88">
        <v>3</v>
      </c>
      <c r="G119" s="88" t="str">
        <f>IF(ISERROR(VLOOKUP(F119,A117:D119,2,0)),"",VLOOKUP(F119,A117:D119,2,0))</f>
        <v>外資Sell櫃買指數期貨</v>
      </c>
      <c r="H119" s="88">
        <f>IF(ISERROR(VLOOKUP(F119,A117:D119,3,0)),"",VLOOKUP(F119,A117:D119,3,0))</f>
        <v>302.57476298433636</v>
      </c>
      <c r="I119" s="88">
        <f>IF(ISERROR(VLOOKUP(F119,A117:D119,4,0)),"",VLOOKUP(F119,A117:D119,4,0))</f>
        <v>-1596</v>
      </c>
      <c r="J119" s="88"/>
      <c r="K119" s="88"/>
      <c r="L119" s="88">
        <f>I119</f>
        <v>-1596</v>
      </c>
    </row>
    <row r="120" spans="1:12" x14ac:dyDescent="0.4">
      <c r="A120" s="88">
        <f>IF(ISERROR(RANK(C120,C120:C122,1)+COUNTIF(C120:C120,C120)-1),"",RANK(C120,C120:C122,1)+COUNTIF(C120:C120,C120)-1)</f>
        <v>1</v>
      </c>
      <c r="B120" s="88" t="str">
        <f>IF(D120&lt;0,"自營商Sell非金電期貨","自營商Buy非金電期貨")</f>
        <v>自營商Sell非金電期貨</v>
      </c>
      <c r="C120" s="88">
        <f>最新日彙整!Z39</f>
        <v>8094.3902439024396</v>
      </c>
      <c r="D120" s="88">
        <f>最新日彙整!X39</f>
        <v>-70</v>
      </c>
      <c r="F120" s="88">
        <v>1</v>
      </c>
      <c r="G120" s="88" t="str">
        <f>IF(ISERROR(VLOOKUP(F120,A120:D122,2,0)),"",VLOOKUP(F120,A120:D122,2,0))</f>
        <v>自營商Sell非金電期貨</v>
      </c>
      <c r="H120" s="88">
        <f>IF(ISERROR(VLOOKUP(F120,A120:D122,3,0)),"",VLOOKUP(F120,A120:D122,3,0))</f>
        <v>8094.3902439024396</v>
      </c>
      <c r="I120" s="88">
        <f>IF(ISERROR(VLOOKUP(F120,A120:D122,4,0)),"",VLOOKUP(F120,A120:D122,4,0))</f>
        <v>-70</v>
      </c>
      <c r="J120" s="88">
        <f>I120</f>
        <v>-70</v>
      </c>
      <c r="K120" s="88"/>
      <c r="L120" s="88"/>
    </row>
    <row r="121" spans="1:12" x14ac:dyDescent="0.4">
      <c r="A121" s="88" t="str">
        <f>IF(ISERROR(RANK(C121,C120:C122,1)+COUNTIF(C120:C121,C121)-1),"",RANK(C121,C120:C122,1)+COUNTIF(C120:C121,C121)-1)</f>
        <v/>
      </c>
      <c r="B121" s="88" t="str">
        <f>IF(D121&lt;0,"投信Sell非金電期貨","投信Buy非金電期貨")</f>
        <v>投信Buy非金電期貨</v>
      </c>
      <c r="C121" s="88" t="str">
        <f>最新日彙整!Z40</f>
        <v/>
      </c>
      <c r="D121" s="88">
        <f>最新日彙整!X40</f>
        <v>0</v>
      </c>
      <c r="F121" s="88">
        <v>2</v>
      </c>
      <c r="G121" s="88" t="str">
        <f>IF(ISERROR(VLOOKUP(F121,A120:D122,2,0)),"",VLOOKUP(F121,A120:D122,2,0))</f>
        <v/>
      </c>
      <c r="H121" s="88" t="str">
        <f>IF(ISERROR(VLOOKUP(F121,A120:D122,3,0)),"",VLOOKUP(F121,A120:D122,3,0))</f>
        <v/>
      </c>
      <c r="I121" s="88" t="str">
        <f>IF(ISERROR(VLOOKUP(F121,A120:D122,4,0)),"",VLOOKUP(F121,A120:D122,4,0))</f>
        <v/>
      </c>
      <c r="J121" s="88"/>
      <c r="K121" s="88" t="str">
        <f>I121</f>
        <v/>
      </c>
      <c r="L121" s="88"/>
    </row>
    <row r="122" spans="1:12" x14ac:dyDescent="0.4">
      <c r="A122" s="88" t="str">
        <f>IF(ISERROR(RANK(C122,C120:C122,1)+COUNTIF(C120:C122,C122)-1),"",RANK(C122,C120:C122,1)+COUNTIF(C120:C122,C122)-1)</f>
        <v/>
      </c>
      <c r="B122" s="88" t="str">
        <f>IF(D122&lt;0,"外資Sell非金電期貨","外資Buy非金電期貨")</f>
        <v>外資Buy非金電期貨</v>
      </c>
      <c r="C122" s="88" t="str">
        <f>最新日彙整!Z41</f>
        <v/>
      </c>
      <c r="D122" s="88">
        <f>最新日彙整!X41</f>
        <v>0</v>
      </c>
      <c r="F122" s="88">
        <v>3</v>
      </c>
      <c r="G122" s="88" t="str">
        <f>IF(ISERROR(VLOOKUP(F122,A120:D122,2,0)),"",VLOOKUP(F122,A120:D122,2,0))</f>
        <v/>
      </c>
      <c r="H122" s="88" t="str">
        <f>IF(ISERROR(VLOOKUP(F122,A120:D122,3,0)),"",VLOOKUP(F122,A120:D122,3,0))</f>
        <v/>
      </c>
      <c r="I122" s="88" t="str">
        <f>IF(ISERROR(VLOOKUP(F122,A120:D122,4,0)),"",VLOOKUP(F122,A120:D122,4,0))</f>
        <v/>
      </c>
      <c r="J122" s="88"/>
      <c r="K122" s="88"/>
      <c r="L122" s="88" t="str">
        <f>I122</f>
        <v/>
      </c>
    </row>
    <row r="123" spans="1:12" x14ac:dyDescent="0.4">
      <c r="A123" s="88">
        <f>IF(ISERROR(RANK(C123,C123:C125,1)+COUNTIF(C123:C123,C123)-1),"",RANK(C123,C123:C125,1)+COUNTIF(C123:C123,C123)-1)</f>
        <v>2</v>
      </c>
      <c r="B123" s="88" t="str">
        <f>IF(D123&lt;0,"自營商Sell富櫃200期貨","自營商Buy富櫃200期貨")</f>
        <v>自營商Buy富櫃200期貨</v>
      </c>
      <c r="C123" s="88">
        <f>最新日彙整!Z42</f>
        <v>32519.636363636364</v>
      </c>
      <c r="D123" s="88">
        <f>最新日彙整!X42</f>
        <v>205</v>
      </c>
      <c r="F123" s="88">
        <v>1</v>
      </c>
      <c r="G123" s="88" t="str">
        <f>IF(ISERROR(VLOOKUP(F123,A123:D125,2,0)),"",VLOOKUP(F123,A123:D125,2,0))</f>
        <v>投信Buy富櫃200期貨</v>
      </c>
      <c r="H123" s="88">
        <f>IF(ISERROR(VLOOKUP(F123,A123:D125,3,0)),"",VLOOKUP(F123,A123:D125,3,0))</f>
        <v>32470</v>
      </c>
      <c r="I123" s="88">
        <f>IF(ISERROR(VLOOKUP(F123,A123:D125,4,0)),"",VLOOKUP(F123,A123:D125,4,0))</f>
        <v>2</v>
      </c>
      <c r="J123" s="88">
        <f>I123</f>
        <v>2</v>
      </c>
      <c r="K123" s="88"/>
      <c r="L123" s="88"/>
    </row>
    <row r="124" spans="1:12" x14ac:dyDescent="0.4">
      <c r="A124" s="88">
        <f>IF(ISERROR(RANK(C124,C123:C125,1)+COUNTIF(C123:C124,C124)-1),"",RANK(C124,C123:C125,1)+COUNTIF(C123:C124,C124)-1)</f>
        <v>1</v>
      </c>
      <c r="B124" s="88" t="str">
        <f>IF(D124&lt;0,"投信Sell台富櫃200期貨","投信Buy富櫃200期貨")</f>
        <v>投信Buy富櫃200期貨</v>
      </c>
      <c r="C124" s="88">
        <f>最新日彙整!Z43</f>
        <v>32470</v>
      </c>
      <c r="D124" s="88">
        <f>最新日彙整!X43</f>
        <v>2</v>
      </c>
      <c r="F124" s="88">
        <v>2</v>
      </c>
      <c r="G124" s="88" t="str">
        <f>IF(ISERROR(VLOOKUP(F124,A123:D125,2,0)),"",VLOOKUP(F124,A123:D125,2,0))</f>
        <v>自營商Buy富櫃200期貨</v>
      </c>
      <c r="H124" s="88">
        <f>IF(ISERROR(VLOOKUP(F124,A123:D125,3,0)),"",VLOOKUP(F124,A123:D125,3,0))</f>
        <v>32519.636363636364</v>
      </c>
      <c r="I124" s="88">
        <f>IF(ISERROR(VLOOKUP(F124,A123:D125,4,0)),"",VLOOKUP(F124,A123:D125,4,0))</f>
        <v>205</v>
      </c>
      <c r="J124" s="88"/>
      <c r="K124" s="88">
        <f>I124</f>
        <v>205</v>
      </c>
      <c r="L124" s="88"/>
    </row>
    <row r="125" spans="1:12" x14ac:dyDescent="0.4">
      <c r="A125" s="88">
        <f>IF(ISERROR(RANK(C125,C123:C125,1)+COUNTIF(C123:C125,C125)-1),"",RANK(C125,C123:C125,1)+COUNTIF(C123:C125,C125)-1)</f>
        <v>3</v>
      </c>
      <c r="B125" s="88" t="str">
        <f>IF(D125&lt;0,"外資Sell富櫃200期貨","外資Buy富櫃200期貨")</f>
        <v>外資Sell富櫃200期貨</v>
      </c>
      <c r="C125" s="88">
        <f>最新日彙整!Z44</f>
        <v>32520</v>
      </c>
      <c r="D125" s="88">
        <f>最新日彙整!X44</f>
        <v>-231</v>
      </c>
      <c r="F125" s="88">
        <v>3</v>
      </c>
      <c r="G125" s="88" t="str">
        <f>IF(ISERROR(VLOOKUP(F125,A123:D125,2,0)),"",VLOOKUP(F125,A123:D125,2,0))</f>
        <v>外資Sell富櫃200期貨</v>
      </c>
      <c r="H125" s="88">
        <f>IF(ISERROR(VLOOKUP(F125,A123:D125,3,0)),"",VLOOKUP(F125,A123:D125,3,0))</f>
        <v>32520</v>
      </c>
      <c r="I125" s="88">
        <f>IF(ISERROR(VLOOKUP(F125,A123:D125,4,0)),"",VLOOKUP(F125,A123:D125,4,0))</f>
        <v>-231</v>
      </c>
      <c r="J125" s="88"/>
      <c r="K125" s="88"/>
      <c r="L125" s="88">
        <f>I125</f>
        <v>-231</v>
      </c>
    </row>
    <row r="126" spans="1:12" x14ac:dyDescent="0.4">
      <c r="A126" s="88">
        <f>IF(ISERROR(RANK(C126,C126:C128,1)+COUNTIF(C126:C126,C126)-1),"",RANK(C126,C126:C128,1)+COUNTIF(C126:C126,C126)-1)</f>
        <v>2</v>
      </c>
      <c r="B126" s="88" t="str">
        <f>IF(D126&lt;0,"自營商Sell臺灣永續期貨","自營商Buy臺灣永續期貨")</f>
        <v>自營商Sell臺灣永續期貨</v>
      </c>
      <c r="C126" s="88">
        <f>最新日彙整!Z45</f>
        <v>4308.727272727273</v>
      </c>
      <c r="D126" s="88">
        <f>最新日彙整!X45</f>
        <v>-17</v>
      </c>
      <c r="F126" s="88">
        <v>1</v>
      </c>
      <c r="G126" s="88" t="str">
        <f>IF(ISERROR(VLOOKUP(F126,A126:D128,2,0)),"",VLOOKUP(F126,A126:D128,2,0))</f>
        <v>投信Buy臺灣永續期貨</v>
      </c>
      <c r="H126" s="88">
        <f>IF(ISERROR(VLOOKUP(F126,A126:D128,3,0)),"",VLOOKUP(F126,A126:D128,3,0))</f>
        <v>4308.666666666667</v>
      </c>
      <c r="I126" s="88">
        <f>IF(ISERROR(VLOOKUP(F126,A126:D128,4,0)),"",VLOOKUP(F126,A126:D128,4,0))</f>
        <v>30</v>
      </c>
      <c r="J126" s="88">
        <f>I126</f>
        <v>30</v>
      </c>
      <c r="K126" s="88"/>
      <c r="L126" s="88"/>
    </row>
    <row r="127" spans="1:12" x14ac:dyDescent="0.4">
      <c r="A127" s="88">
        <f>IF(ISERROR(RANK(C127,C126:C128,1)+COUNTIF(C126:C127,C127)-1),"",RANK(C127,C126:C128,1)+COUNTIF(C126:C127,C127)-1)</f>
        <v>1</v>
      </c>
      <c r="B127" s="88" t="str">
        <f>IF(D127&lt;0,"投信Sell臺灣永續期貨","投信Buy臺灣永續期貨")</f>
        <v>投信Buy臺灣永續期貨</v>
      </c>
      <c r="C127" s="88">
        <f>最新日彙整!Z46</f>
        <v>4308.666666666667</v>
      </c>
      <c r="D127" s="88">
        <f>最新日彙整!X46</f>
        <v>30</v>
      </c>
      <c r="F127" s="88">
        <v>2</v>
      </c>
      <c r="G127" s="88" t="str">
        <f>IF(ISERROR(VLOOKUP(F127,A126:D128,2,0)),"",VLOOKUP(F127,A126:D128,2,0))</f>
        <v>自營商Sell臺灣永續期貨</v>
      </c>
      <c r="H127" s="88">
        <f>IF(ISERROR(VLOOKUP(F127,A126:D128,3,0)),"",VLOOKUP(F127,A126:D128,3,0))</f>
        <v>4308.727272727273</v>
      </c>
      <c r="I127" s="88">
        <f>IF(ISERROR(VLOOKUP(F127,A126:D128,4,0)),"",VLOOKUP(F127,A126:D128,4,0))</f>
        <v>-17</v>
      </c>
      <c r="J127" s="88"/>
      <c r="K127" s="88">
        <f>I127</f>
        <v>-17</v>
      </c>
      <c r="L127" s="88"/>
    </row>
    <row r="128" spans="1:12" x14ac:dyDescent="0.4">
      <c r="A128" s="88">
        <f>IF(ISERROR(RANK(C128,C126:C128,1)+COUNTIF(C126:C128,C128)-1),"",RANK(C128,C126:C128,1)+COUNTIF(C126:C128,C128)-1)</f>
        <v>3</v>
      </c>
      <c r="B128" s="88" t="str">
        <f>IF(D128&lt;0,"外資Sell臺灣永續期貨","外資Buy臺灣永續期貨")</f>
        <v>外資Sell臺灣永續期貨</v>
      </c>
      <c r="C128" s="88">
        <f>最新日彙整!Z47</f>
        <v>4317</v>
      </c>
      <c r="D128" s="88">
        <f>最新日彙整!X47</f>
        <v>-30</v>
      </c>
      <c r="F128" s="88">
        <v>3</v>
      </c>
      <c r="G128" s="88" t="str">
        <f>IF(ISERROR(VLOOKUP(F128,A126:D128,2,0)),"",VLOOKUP(F128,A126:D128,2,0))</f>
        <v>外資Sell臺灣永續期貨</v>
      </c>
      <c r="H128" s="88">
        <f>IF(ISERROR(VLOOKUP(F128,A126:D128,3,0)),"",VLOOKUP(F128,A126:D128,3,0))</f>
        <v>4317</v>
      </c>
      <c r="I128" s="88">
        <f>IF(ISERROR(VLOOKUP(F128,A126:D128,4,0)),"",VLOOKUP(F128,A126:D128,4,0))</f>
        <v>-30</v>
      </c>
      <c r="J128" s="88"/>
      <c r="K128" s="88"/>
      <c r="L128" s="88">
        <f>I128</f>
        <v>-30</v>
      </c>
    </row>
    <row r="129" spans="1:12" x14ac:dyDescent="0.4">
      <c r="A129" s="88">
        <f>IF(ISERROR(RANK(C129,C129:C131,1)+COUNTIF(C129:C129,C129)-1),"",RANK(C129,C129:C131,1)+COUNTIF(C129:C129,C129)-1)</f>
        <v>2</v>
      </c>
      <c r="B129" s="88" t="str">
        <f>IF(D129&lt;0,"自營商Sell臺灣生技期貨","自營商Buy臺灣生技期貨")</f>
        <v>自營商Sell臺灣生技期貨</v>
      </c>
      <c r="C129" s="88">
        <f>最新日彙整!Z48</f>
        <v>16926.046511627905</v>
      </c>
      <c r="D129" s="88">
        <f>最新日彙整!X48</f>
        <v>-43</v>
      </c>
      <c r="F129" s="88">
        <v>1</v>
      </c>
      <c r="G129" s="88" t="str">
        <f>IF(ISERROR(VLOOKUP(F129,A129:D131,2,0)),"",VLOOKUP(F129,A129:D131,2,0))</f>
        <v>外資Buy臺灣生技期貨</v>
      </c>
      <c r="H129" s="88">
        <f>IF(ISERROR(VLOOKUP(F129,A129:D131,3,0)),"",VLOOKUP(F129,A129:D131,3,0))</f>
        <v>16925.714285714286</v>
      </c>
      <c r="I129" s="88">
        <f>IF(ISERROR(VLOOKUP(F129,A129:D131,4,0)),"",VLOOKUP(F129,A129:D131,4,0))</f>
        <v>7</v>
      </c>
      <c r="J129" s="88">
        <f>I129</f>
        <v>7</v>
      </c>
      <c r="K129" s="88"/>
      <c r="L129" s="88"/>
    </row>
    <row r="130" spans="1:12" x14ac:dyDescent="0.4">
      <c r="A130" s="88">
        <f>IF(ISERROR(RANK(C130,C129:C131,1)+COUNTIF(C129:C130,C130)-1),"",RANK(C130,C129:C131,1)+COUNTIF(C129:C130,C130)-1)</f>
        <v>3</v>
      </c>
      <c r="B130" s="88" t="str">
        <f>IF(D130&lt;0,"投信Sell臺灣生技期貨","投信Buy臺灣生技期貨")</f>
        <v>投信Buy臺灣生技期貨</v>
      </c>
      <c r="C130" s="88">
        <f>最新日彙整!Z49</f>
        <v>16926.285714285714</v>
      </c>
      <c r="D130" s="88">
        <f>最新日彙整!X49</f>
        <v>35</v>
      </c>
      <c r="F130" s="88">
        <v>2</v>
      </c>
      <c r="G130" s="88" t="str">
        <f>IF(ISERROR(VLOOKUP(F130,A129:D131,2,0)),"",VLOOKUP(F130,A129:D131,2,0))</f>
        <v>自營商Sell臺灣生技期貨</v>
      </c>
      <c r="H130" s="88">
        <f>IF(ISERROR(VLOOKUP(F130,A129:D131,3,0)),"",VLOOKUP(F130,A129:D131,3,0))</f>
        <v>16926.046511627905</v>
      </c>
      <c r="I130" s="88">
        <f>IF(ISERROR(VLOOKUP(F130,A129:D131,4,0)),"",VLOOKUP(F130,A129:D131,4,0))</f>
        <v>-43</v>
      </c>
      <c r="J130" s="88"/>
      <c r="K130" s="88">
        <f>I130</f>
        <v>-43</v>
      </c>
      <c r="L130" s="88"/>
    </row>
    <row r="131" spans="1:12" x14ac:dyDescent="0.4">
      <c r="A131" s="88">
        <f>IF(ISERROR(RANK(C131,C129:C131,1)+COUNTIF(C129:C131,C131)-1),"",RANK(C131,C129:C131,1)+COUNTIF(C129:C131,C131)-1)</f>
        <v>1</v>
      </c>
      <c r="B131" s="88" t="str">
        <f>IF(D131&lt;0,"外資Sell臺灣生技期貨","外資Buy臺灣生技期貨")</f>
        <v>外資Buy臺灣生技期貨</v>
      </c>
      <c r="C131" s="88">
        <f>最新日彙整!Z50</f>
        <v>16925.714285714286</v>
      </c>
      <c r="D131" s="88">
        <f>最新日彙整!X50</f>
        <v>7</v>
      </c>
      <c r="F131" s="88">
        <v>3</v>
      </c>
      <c r="G131" s="88" t="str">
        <f>IF(ISERROR(VLOOKUP(F131,A129:D131,2,0)),"",VLOOKUP(F131,A129:D131,2,0))</f>
        <v>投信Buy臺灣生技期貨</v>
      </c>
      <c r="H131" s="88">
        <f>IF(ISERROR(VLOOKUP(F131,A129:D131,3,0)),"",VLOOKUP(F131,A129:D131,3,0))</f>
        <v>16926.285714285714</v>
      </c>
      <c r="I131" s="88">
        <f>IF(ISERROR(VLOOKUP(F131,A129:D131,4,0)),"",VLOOKUP(F131,A129:D131,4,0))</f>
        <v>35</v>
      </c>
      <c r="J131" s="88"/>
      <c r="K131" s="88"/>
      <c r="L131" s="88">
        <f>I131</f>
        <v>35</v>
      </c>
    </row>
    <row r="132" spans="1:12" x14ac:dyDescent="0.4">
      <c r="A132" s="88">
        <f>IF(ISERROR(RANK(C132,C132:C134,1)+COUNTIF(C132:C132,C132)-1),"",RANK(C132,C132:C134,1)+COUNTIF(C132:C132,C132)-1)</f>
        <v>1</v>
      </c>
      <c r="B132" s="88" t="str">
        <f>IF(D132&lt;0,"自營商Sell美國標普500期貨","自營商Buy美國標普500期貨")</f>
        <v>自營商Sell美國標普500期貨</v>
      </c>
      <c r="C132" s="88">
        <f>最新日彙整!Z51</f>
        <v>1051.1111111111111</v>
      </c>
      <c r="D132" s="88">
        <f>最新日彙整!X51</f>
        <v>-8</v>
      </c>
      <c r="F132" s="88">
        <v>1</v>
      </c>
      <c r="G132" s="88" t="str">
        <f>IF(ISERROR(VLOOKUP(F132,A132:D134,2,0)),"",VLOOKUP(F132,A132:D134,2,0))</f>
        <v>自營商Sell美國標普500期貨</v>
      </c>
      <c r="H132" s="88">
        <f>IF(ISERROR(VLOOKUP(F132,A132:D134,3,0)),"",VLOOKUP(F132,A132:D134,3,0))</f>
        <v>1051.1111111111111</v>
      </c>
      <c r="I132" s="88">
        <f>IF(ISERROR(VLOOKUP(F132,A132:D134,4,0)),"",VLOOKUP(F132,A132:D134,4,0))</f>
        <v>-8</v>
      </c>
      <c r="J132" s="88">
        <f>I132</f>
        <v>-8</v>
      </c>
      <c r="K132" s="88"/>
      <c r="L132" s="88"/>
    </row>
    <row r="133" spans="1:12" x14ac:dyDescent="0.4">
      <c r="A133" s="88" t="str">
        <f>IF(ISERROR(RANK(C133,C132:C134,1)+COUNTIF(C132:C133,C133)-1),"",RANK(C133,C132:C134,1)+COUNTIF(C132:C133,C133)-1)</f>
        <v/>
      </c>
      <c r="B133" s="88" t="str">
        <f>IF(D133&lt;0,"投信Sell美國標普500期貨","投信Buy美國標普500期貨")</f>
        <v>投信Buy美國標普500期貨</v>
      </c>
      <c r="C133" s="88" t="str">
        <f>最新日彙整!Z52</f>
        <v/>
      </c>
      <c r="D133" s="88">
        <f>最新日彙整!X52</f>
        <v>0</v>
      </c>
      <c r="F133" s="88">
        <v>2</v>
      </c>
      <c r="G133" s="88" t="str">
        <f>IF(ISERROR(VLOOKUP(F133,A132:D134,2,0)),"",VLOOKUP(F133,A132:D134,2,0))</f>
        <v>外資Sell美國標普500期貨</v>
      </c>
      <c r="H133" s="88">
        <f>IF(ISERROR(VLOOKUP(F133,A132:D134,3,0)),"",VLOOKUP(F133,A132:D134,3,0))</f>
        <v>1057.5</v>
      </c>
      <c r="I133" s="88">
        <f>IF(ISERROR(VLOOKUP(F133,A132:D134,4,0)),"",VLOOKUP(F133,A132:D134,4,0))</f>
        <v>-8</v>
      </c>
      <c r="J133" s="88"/>
      <c r="K133" s="88">
        <f>I133</f>
        <v>-8</v>
      </c>
      <c r="L133" s="88"/>
    </row>
    <row r="134" spans="1:12" x14ac:dyDescent="0.4">
      <c r="A134" s="88">
        <f>IF(ISERROR(RANK(C134,C132:C134,1)+COUNTIF(C132:C134,C134)-1),"",RANK(C134,C132:C134,1)+COUNTIF(C132:C134,C134)-1)</f>
        <v>2</v>
      </c>
      <c r="B134" s="88" t="str">
        <f>IF(D134&lt;0,"外資Sell美國標普500期貨","外資Buy美國標普500期貨")</f>
        <v>外資Sell美國標普500期貨</v>
      </c>
      <c r="C134" s="88">
        <f>最新日彙整!Z53</f>
        <v>1057.5</v>
      </c>
      <c r="D134" s="88">
        <f>最新日彙整!X53</f>
        <v>-8</v>
      </c>
      <c r="F134" s="88">
        <v>3</v>
      </c>
      <c r="G134" s="88" t="str">
        <f>IF(ISERROR(VLOOKUP(F134,A132:D134,2,0)),"",VLOOKUP(F134,A132:D134,2,0))</f>
        <v/>
      </c>
      <c r="H134" s="88" t="str">
        <f>IF(ISERROR(VLOOKUP(F134,A132:D134,3,0)),"",VLOOKUP(F134,A132:D134,3,0))</f>
        <v/>
      </c>
      <c r="I134" s="88" t="str">
        <f>IF(ISERROR(VLOOKUP(F134,A132:D134,4,0)),"",VLOOKUP(F134,A132:D134,4,0))</f>
        <v/>
      </c>
      <c r="J134" s="88"/>
      <c r="K134" s="88"/>
      <c r="L134" s="88" t="str">
        <f>I134</f>
        <v/>
      </c>
    </row>
    <row r="135" spans="1:12" x14ac:dyDescent="0.4">
      <c r="A135" s="88">
        <f>IF(ISERROR(RANK(C135,C135:C137,1)+COUNTIF(C135:C135,C135)-1),"",RANK(C135,C135:C137,1)+COUNTIF(C135:C135,C135)-1)</f>
        <v>1</v>
      </c>
      <c r="B135" s="88" t="str">
        <f>IF(D135&lt;0,"自營商Sell美國那斯達克100期貨","自營商Buy美國那斯達克100期貨")</f>
        <v>自營商Sell美國那斯達克100期貨</v>
      </c>
      <c r="C135" s="88">
        <f>最新日彙整!Z54</f>
        <v>8052.0261437908503</v>
      </c>
      <c r="D135" s="88">
        <f>最新日彙整!X54</f>
        <v>-291</v>
      </c>
      <c r="F135" s="88">
        <v>1</v>
      </c>
      <c r="G135" s="88" t="str">
        <f>IF(ISERROR(VLOOKUP(F135,A135:D137,2,0)),"",VLOOKUP(F135,A135:D137,2,0))</f>
        <v>自營商Sell美國那斯達克100期貨</v>
      </c>
      <c r="H135" s="88">
        <f>IF(ISERROR(VLOOKUP(F135,A135:D137,3,0)),"",VLOOKUP(F135,A135:D137,3,0))</f>
        <v>8052.0261437908503</v>
      </c>
      <c r="I135" s="88">
        <f>IF(ISERROR(VLOOKUP(F135,A135:D137,4,0)),"",VLOOKUP(F135,A135:D137,4,0))</f>
        <v>-291</v>
      </c>
      <c r="J135" s="88">
        <f>I135</f>
        <v>-291</v>
      </c>
      <c r="K135" s="88"/>
      <c r="L135" s="88"/>
    </row>
    <row r="136" spans="1:12" x14ac:dyDescent="0.4">
      <c r="A136" s="88" t="str">
        <f>IF(ISERROR(RANK(C136,C135:C137,1)+COUNTIF(C135:C136,C136)-1),"",RANK(C136,C135:C137,1)+COUNTIF(C135:C136,C136)-1)</f>
        <v/>
      </c>
      <c r="B136" s="88" t="str">
        <f>IF(D136&lt;0,"投信Sell台美國那斯達克100期貨","投信Buy美國那斯達克100期貨")</f>
        <v>投信Buy美國那斯達克100期貨</v>
      </c>
      <c r="C136" s="88" t="str">
        <f>最新日彙整!Z55</f>
        <v/>
      </c>
      <c r="D136" s="88">
        <f>最新日彙整!X55</f>
        <v>0</v>
      </c>
      <c r="F136" s="88">
        <v>2</v>
      </c>
      <c r="G136" s="88" t="str">
        <f>IF(ISERROR(VLOOKUP(F136,A135:D137,2,0)),"",VLOOKUP(F136,A135:D137,2,0))</f>
        <v>外資Buy美國那斯達克100期貨</v>
      </c>
      <c r="H136" s="88">
        <f>IF(ISERROR(VLOOKUP(F136,A135:D137,3,0)),"",VLOOKUP(F136,A135:D137,3,0))</f>
        <v>8052.0430107526881</v>
      </c>
      <c r="I136" s="88">
        <f>IF(ISERROR(VLOOKUP(F136,A135:D137,4,0)),"",VLOOKUP(F136,A135:D137,4,0))</f>
        <v>173</v>
      </c>
      <c r="J136" s="88"/>
      <c r="K136" s="88">
        <f>I136</f>
        <v>173</v>
      </c>
      <c r="L136" s="88"/>
    </row>
    <row r="137" spans="1:12" x14ac:dyDescent="0.4">
      <c r="A137" s="88">
        <f>IF(ISERROR(RANK(C137,C135:C137,1)+COUNTIF(C135:C137,C137)-1),"",RANK(C137,C135:C137,1)+COUNTIF(C135:C137,C137)-1)</f>
        <v>2</v>
      </c>
      <c r="B137" s="88" t="str">
        <f>IF(D137&lt;0,"外資Sell美國那斯達克100期貨","外資Buy美國那斯達克100期貨")</f>
        <v>外資Buy美國那斯達克100期貨</v>
      </c>
      <c r="C137" s="88">
        <f>最新日彙整!Z56</f>
        <v>8052.0430107526881</v>
      </c>
      <c r="D137" s="88">
        <f>最新日彙整!X56</f>
        <v>173</v>
      </c>
      <c r="F137" s="88">
        <v>3</v>
      </c>
      <c r="G137" s="88" t="str">
        <f>IF(ISERROR(VLOOKUP(F137,A135:D137,2,0)),"",VLOOKUP(F137,A135:D137,2,0))</f>
        <v/>
      </c>
      <c r="H137" s="88" t="str">
        <f>IF(ISERROR(VLOOKUP(F137,A135:D137,3,0)),"",VLOOKUP(F137,A135:D137,3,0))</f>
        <v/>
      </c>
      <c r="I137" s="88" t="str">
        <f>IF(ISERROR(VLOOKUP(F137,A135:D137,4,0)),"",VLOOKUP(F137,A135:D137,4,0))</f>
        <v/>
      </c>
      <c r="J137" s="88"/>
      <c r="K137" s="88"/>
      <c r="L137" s="88" t="str">
        <f>I137</f>
        <v/>
      </c>
    </row>
    <row r="138" spans="1:12" x14ac:dyDescent="0.4">
      <c r="A138" s="88">
        <f>IF(ISERROR(RANK(C138,C138:C140,1)+COUNTIF(C138:C138,C138)-1),"",RANK(C138,C138:C140,1)+COUNTIF(C138:C138,C138)-1)</f>
        <v>2</v>
      </c>
      <c r="B138" s="88" t="str">
        <f>IF(D138&lt;0,"自營商Sell美國道瓊期貨","自營商Buy美國道瓊期貨")</f>
        <v>自營商Sell美國道瓊期貨</v>
      </c>
      <c r="C138" s="88">
        <f>最新日彙整!Z57</f>
        <v>44575</v>
      </c>
      <c r="D138" s="88">
        <f>最新日彙整!X57</f>
        <v>-154</v>
      </c>
      <c r="F138" s="88">
        <v>1</v>
      </c>
      <c r="G138" s="88" t="str">
        <f>IF(ISERROR(VLOOKUP(F138,A138:D140,2,0)),"",VLOOKUP(F138,A138:D140,2,0))</f>
        <v>外資Sell美國道瓊期貨</v>
      </c>
      <c r="H138" s="88">
        <f>IF(ISERROR(VLOOKUP(F138,A138:D140,3,0)),"",VLOOKUP(F138,A138:D140,3,0))</f>
        <v>44568.897637795271</v>
      </c>
      <c r="I138" s="88">
        <f>IF(ISERROR(VLOOKUP(F138,A138:D140,4,0)),"",VLOOKUP(F138,A138:D140,4,0))</f>
        <v>-198</v>
      </c>
      <c r="J138" s="88">
        <f>I138</f>
        <v>-198</v>
      </c>
      <c r="K138" s="88"/>
      <c r="L138" s="88"/>
    </row>
    <row r="139" spans="1:12" x14ac:dyDescent="0.4">
      <c r="A139" s="88" t="str">
        <f>IF(ISERROR(RANK(C139,C138:C140,1)+COUNTIF(C138:C139,C139)-1),"",RANK(C139,C138:C140,1)+COUNTIF(C138:C139,C139)-1)</f>
        <v/>
      </c>
      <c r="B139" s="88" t="str">
        <f>IF(D139&lt;0,"投信Sell美國道瓊期貨","投信Buy美國道瓊期貨")</f>
        <v>投信Buy美國道瓊期貨</v>
      </c>
      <c r="C139" s="88" t="str">
        <f>最新日彙整!Z58</f>
        <v/>
      </c>
      <c r="D139" s="88">
        <f>最新日彙整!X58</f>
        <v>0</v>
      </c>
      <c r="F139" s="88">
        <v>2</v>
      </c>
      <c r="G139" s="88" t="str">
        <f>IF(ISERROR(VLOOKUP(F139,A138:D140,2,0)),"",VLOOKUP(F139,A138:D140,2,0))</f>
        <v>自營商Sell美國道瓊期貨</v>
      </c>
      <c r="H139" s="88">
        <f>IF(ISERROR(VLOOKUP(F139,A138:D140,3,0)),"",VLOOKUP(F139,A138:D140,3,0))</f>
        <v>44575</v>
      </c>
      <c r="I139" s="88">
        <f>IF(ISERROR(VLOOKUP(F139,A138:D140,4,0)),"",VLOOKUP(F139,A138:D140,4,0))</f>
        <v>-154</v>
      </c>
      <c r="J139" s="88"/>
      <c r="K139" s="88">
        <f>I139</f>
        <v>-154</v>
      </c>
      <c r="L139" s="88"/>
    </row>
    <row r="140" spans="1:12" x14ac:dyDescent="0.4">
      <c r="A140" s="88">
        <f>IF(ISERROR(RANK(C140,C138:C140,1)+COUNTIF(C138:C140,C140)-1),"",RANK(C140,C138:C140,1)+COUNTIF(C138:C140,C140)-1)</f>
        <v>1</v>
      </c>
      <c r="B140" s="88" t="str">
        <f>IF(D140&lt;0,"外資Sell美國道瓊期貨","外資Buy美國道瓊期貨")</f>
        <v>外資Sell美國道瓊期貨</v>
      </c>
      <c r="C140" s="88">
        <f>最新日彙整!Z59</f>
        <v>44568.897637795271</v>
      </c>
      <c r="D140" s="88">
        <f>最新日彙整!X59</f>
        <v>-198</v>
      </c>
      <c r="F140" s="88">
        <v>3</v>
      </c>
      <c r="G140" s="88" t="str">
        <f>IF(ISERROR(VLOOKUP(F140,A138:D140,2,0)),"",VLOOKUP(F140,A138:D140,2,0))</f>
        <v/>
      </c>
      <c r="H140" s="88" t="str">
        <f>IF(ISERROR(VLOOKUP(F140,A138:D140,3,0)),"",VLOOKUP(F140,A138:D140,3,0))</f>
        <v/>
      </c>
      <c r="I140" s="88" t="str">
        <f>IF(ISERROR(VLOOKUP(F140,A138:D140,4,0)),"",VLOOKUP(F140,A138:D140,4,0))</f>
        <v/>
      </c>
      <c r="J140" s="88"/>
      <c r="K140" s="88"/>
      <c r="L140" s="88" t="str">
        <f>I140</f>
        <v/>
      </c>
    </row>
    <row r="141" spans="1:12" x14ac:dyDescent="0.4">
      <c r="A141" s="88">
        <f>IF(ISERROR(RANK(C141,C141:C143,1)+COUNTIF(C141:C141,C141)-1),"",RANK(C141,C141:C143,1)+COUNTIF(C141:C141,C141)-1)</f>
        <v>1</v>
      </c>
      <c r="B141" s="88" t="str">
        <f>IF(D141&lt;0,"自營商Sell英國富時100期貨","自營商Buy英國富時100期貨")</f>
        <v>自營商Buy英國富時100期貨</v>
      </c>
      <c r="C141" s="88">
        <f>最新日彙整!Z60</f>
        <v>15086.865671641792</v>
      </c>
      <c r="D141" s="88">
        <f>最新日彙整!X60</f>
        <v>60</v>
      </c>
      <c r="F141" s="88">
        <v>1</v>
      </c>
      <c r="G141" s="88" t="str">
        <f>IF(ISERROR(VLOOKUP(F141,A141:D143,2,0)),"",VLOOKUP(F141,A141:D143,2,0))</f>
        <v>自營商Buy英國富時100期貨</v>
      </c>
      <c r="H141" s="88">
        <f>IF(ISERROR(VLOOKUP(F141,A141:D143,3,0)),"",VLOOKUP(F141,A141:D143,3,0))</f>
        <v>15086.865671641792</v>
      </c>
      <c r="I141" s="88">
        <f>IF(ISERROR(VLOOKUP(F141,A141:D143,4,0)),"",VLOOKUP(F141,A141:D143,4,0))</f>
        <v>60</v>
      </c>
      <c r="J141" s="88">
        <f>I141</f>
        <v>60</v>
      </c>
      <c r="K141" s="88"/>
      <c r="L141" s="88"/>
    </row>
    <row r="142" spans="1:12" x14ac:dyDescent="0.4">
      <c r="A142" s="88" t="str">
        <f>IF(ISERROR(RANK(C142,C141:C143,1)+COUNTIF(C141:C142,C142)-1),"",RANK(C142,C141:C143,1)+COUNTIF(C141:C142,C142)-1)</f>
        <v/>
      </c>
      <c r="B142" s="88" t="str">
        <f>IF(D142&lt;0,"投信Sell英國富時100期貨","投信Buy英國富時100期貨")</f>
        <v>投信Buy英國富時100期貨</v>
      </c>
      <c r="C142" s="88" t="str">
        <f>最新日彙整!Z61</f>
        <v/>
      </c>
      <c r="D142" s="88">
        <f>最新日彙整!X61</f>
        <v>0</v>
      </c>
      <c r="F142" s="88">
        <v>2</v>
      </c>
      <c r="G142" s="88" t="str">
        <f>IF(ISERROR(VLOOKUP(F142,A141:D143,2,0)),"",VLOOKUP(F142,A141:D143,2,0))</f>
        <v>外資Buy英國富時100期貨</v>
      </c>
      <c r="H142" s="88">
        <f>IF(ISERROR(VLOOKUP(F142,A141:D143,3,0)),"",VLOOKUP(F142,A141:D143,3,0))</f>
        <v>15087.164179104479</v>
      </c>
      <c r="I142" s="88">
        <f>IF(ISERROR(VLOOKUP(F142,A141:D143,4,0)),"",VLOOKUP(F142,A141:D143,4,0))</f>
        <v>2</v>
      </c>
      <c r="J142" s="88"/>
      <c r="K142" s="88">
        <f>I142</f>
        <v>2</v>
      </c>
      <c r="L142" s="88"/>
    </row>
    <row r="143" spans="1:12" x14ac:dyDescent="0.4">
      <c r="A143" s="88">
        <f>IF(ISERROR(RANK(C143,C141:C143,1)+COUNTIF(C141:C143,C143)-1),"",RANK(C143,C141:C143,1)+COUNTIF(C141:C143,C143)-1)</f>
        <v>2</v>
      </c>
      <c r="B143" s="88" t="str">
        <f>IF(D143&lt;0,"外資Sell英國富時100期貨","外資Buy英國富時100期貨")</f>
        <v>外資Buy英國富時100期貨</v>
      </c>
      <c r="C143" s="88">
        <f>最新日彙整!Z62</f>
        <v>15087.164179104479</v>
      </c>
      <c r="D143" s="88">
        <f>最新日彙整!X62</f>
        <v>2</v>
      </c>
      <c r="F143" s="88">
        <v>3</v>
      </c>
      <c r="G143" s="88" t="str">
        <f>IF(ISERROR(VLOOKUP(F143,A141:D143,2,0)),"",VLOOKUP(F143,A141:D143,2,0))</f>
        <v/>
      </c>
      <c r="H143" s="88" t="str">
        <f>IF(ISERROR(VLOOKUP(F143,A141:D143,3,0)),"",VLOOKUP(F143,A141:D143,3,0))</f>
        <v/>
      </c>
      <c r="I143" s="88" t="str">
        <f>IF(ISERROR(VLOOKUP(F143,A141:D143,4,0)),"",VLOOKUP(F143,A141:D143,4,0))</f>
        <v/>
      </c>
      <c r="J143" s="88"/>
      <c r="K143" s="88"/>
      <c r="L143" s="88" t="str">
        <f>I143</f>
        <v/>
      </c>
    </row>
    <row r="144" spans="1:12" x14ac:dyDescent="0.4"/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7D259-419B-43FC-976F-E9D184B98339}">
  <sheetPr codeName="工作表13"/>
  <dimension ref="A1:I52"/>
  <sheetViews>
    <sheetView topLeftCell="A19" workbookViewId="0">
      <selection activeCell="C27" sqref="C27"/>
    </sheetView>
  </sheetViews>
  <sheetFormatPr defaultRowHeight="17" x14ac:dyDescent="0.4"/>
  <cols>
    <col min="1" max="1" width="10.1796875" bestFit="1" customWidth="1"/>
    <col min="2" max="2" width="11.90625" bestFit="1" customWidth="1"/>
    <col min="3" max="3" width="9.54296875" bestFit="1" customWidth="1"/>
    <col min="4" max="5" width="11.90625" bestFit="1" customWidth="1"/>
    <col min="6" max="6" width="11.1796875" bestFit="1" customWidth="1"/>
    <col min="7" max="7" width="8.90625" bestFit="1" customWidth="1"/>
    <col min="8" max="9" width="11.1796875" bestFit="1" customWidth="1"/>
  </cols>
  <sheetData>
    <row r="1" spans="1:9" x14ac:dyDescent="0.4">
      <c r="A1" t="s">
        <v>239</v>
      </c>
      <c r="B1" t="s">
        <v>537</v>
      </c>
      <c r="C1" t="s">
        <v>538</v>
      </c>
      <c r="D1" t="s">
        <v>539</v>
      </c>
      <c r="E1" t="s">
        <v>540</v>
      </c>
      <c r="F1" t="s">
        <v>541</v>
      </c>
      <c r="G1" t="s">
        <v>542</v>
      </c>
      <c r="H1" t="s">
        <v>543</v>
      </c>
      <c r="I1" t="s">
        <v>544</v>
      </c>
    </row>
    <row r="2" spans="1:9" x14ac:dyDescent="0.4">
      <c r="A2" t="s">
        <v>553</v>
      </c>
      <c r="B2">
        <v>14700</v>
      </c>
      <c r="D2">
        <v>0</v>
      </c>
      <c r="E2">
        <v>0</v>
      </c>
      <c r="F2">
        <v>14700</v>
      </c>
      <c r="H2">
        <v>40</v>
      </c>
      <c r="I2">
        <v>498</v>
      </c>
    </row>
    <row r="3" spans="1:9" x14ac:dyDescent="0.4">
      <c r="A3" t="s">
        <v>553</v>
      </c>
      <c r="B3">
        <v>14800</v>
      </c>
      <c r="D3">
        <v>0</v>
      </c>
      <c r="E3">
        <v>0</v>
      </c>
      <c r="F3">
        <v>14800</v>
      </c>
      <c r="G3">
        <v>0.1</v>
      </c>
      <c r="H3">
        <v>131</v>
      </c>
      <c r="I3">
        <v>1265</v>
      </c>
    </row>
    <row r="4" spans="1:9" x14ac:dyDescent="0.4">
      <c r="A4" t="s">
        <v>553</v>
      </c>
      <c r="B4">
        <v>14900</v>
      </c>
      <c r="D4">
        <v>0</v>
      </c>
      <c r="E4">
        <v>0</v>
      </c>
      <c r="F4">
        <v>14900</v>
      </c>
      <c r="G4">
        <v>0.1</v>
      </c>
      <c r="H4">
        <v>30</v>
      </c>
      <c r="I4">
        <v>531</v>
      </c>
    </row>
    <row r="5" spans="1:9" x14ac:dyDescent="0.4">
      <c r="A5" t="s">
        <v>553</v>
      </c>
      <c r="B5">
        <v>15000</v>
      </c>
      <c r="D5">
        <v>0</v>
      </c>
      <c r="E5">
        <v>0</v>
      </c>
      <c r="F5">
        <v>15000</v>
      </c>
      <c r="G5">
        <v>0.1</v>
      </c>
      <c r="H5">
        <v>12</v>
      </c>
      <c r="I5">
        <v>973</v>
      </c>
    </row>
    <row r="6" spans="1:9" x14ac:dyDescent="0.4">
      <c r="A6" t="s">
        <v>553</v>
      </c>
      <c r="B6">
        <v>15100</v>
      </c>
      <c r="D6">
        <v>0</v>
      </c>
      <c r="E6">
        <v>0</v>
      </c>
      <c r="F6">
        <v>15100</v>
      </c>
      <c r="G6">
        <v>0.2</v>
      </c>
      <c r="H6">
        <v>45</v>
      </c>
      <c r="I6">
        <v>1071</v>
      </c>
    </row>
    <row r="7" spans="1:9" x14ac:dyDescent="0.4">
      <c r="A7" t="s">
        <v>553</v>
      </c>
      <c r="B7">
        <v>15200</v>
      </c>
      <c r="D7">
        <v>0</v>
      </c>
      <c r="E7">
        <v>0</v>
      </c>
      <c r="F7">
        <v>15200</v>
      </c>
      <c r="G7">
        <v>0.2</v>
      </c>
      <c r="H7">
        <v>574</v>
      </c>
      <c r="I7">
        <v>1813</v>
      </c>
    </row>
    <row r="8" spans="1:9" x14ac:dyDescent="0.4">
      <c r="A8" t="s">
        <v>553</v>
      </c>
      <c r="B8">
        <v>15300</v>
      </c>
      <c r="D8">
        <v>0</v>
      </c>
      <c r="E8">
        <v>0</v>
      </c>
      <c r="F8">
        <v>15300</v>
      </c>
      <c r="G8">
        <v>0.2</v>
      </c>
      <c r="H8">
        <v>545</v>
      </c>
      <c r="I8">
        <v>2977</v>
      </c>
    </row>
    <row r="9" spans="1:9" x14ac:dyDescent="0.4">
      <c r="A9" t="s">
        <v>553</v>
      </c>
      <c r="B9">
        <v>15400</v>
      </c>
      <c r="D9">
        <v>0</v>
      </c>
      <c r="E9">
        <v>0</v>
      </c>
      <c r="F9">
        <v>15400</v>
      </c>
      <c r="G9">
        <v>0.2</v>
      </c>
      <c r="H9">
        <v>299</v>
      </c>
      <c r="I9">
        <v>2216</v>
      </c>
    </row>
    <row r="10" spans="1:9" x14ac:dyDescent="0.4">
      <c r="A10" t="s">
        <v>553</v>
      </c>
      <c r="B10">
        <v>15500</v>
      </c>
      <c r="D10">
        <v>0</v>
      </c>
      <c r="E10">
        <v>0</v>
      </c>
      <c r="F10">
        <v>15500</v>
      </c>
      <c r="G10">
        <v>0.3</v>
      </c>
      <c r="H10">
        <v>290</v>
      </c>
      <c r="I10">
        <v>1956</v>
      </c>
    </row>
    <row r="11" spans="1:9" x14ac:dyDescent="0.4">
      <c r="A11" t="s">
        <v>553</v>
      </c>
      <c r="B11">
        <v>15600</v>
      </c>
      <c r="D11">
        <v>0</v>
      </c>
      <c r="E11">
        <v>1</v>
      </c>
      <c r="F11">
        <v>15600</v>
      </c>
      <c r="G11">
        <v>0.2</v>
      </c>
      <c r="H11">
        <v>622</v>
      </c>
      <c r="I11">
        <v>1984</v>
      </c>
    </row>
    <row r="12" spans="1:9" x14ac:dyDescent="0.4">
      <c r="A12" t="s">
        <v>553</v>
      </c>
      <c r="B12">
        <v>15700</v>
      </c>
      <c r="D12">
        <v>0</v>
      </c>
      <c r="E12">
        <v>0</v>
      </c>
      <c r="F12">
        <v>15700</v>
      </c>
      <c r="G12">
        <v>0.3</v>
      </c>
      <c r="H12">
        <v>912</v>
      </c>
      <c r="I12">
        <v>3883</v>
      </c>
    </row>
    <row r="13" spans="1:9" x14ac:dyDescent="0.4">
      <c r="A13" t="s">
        <v>553</v>
      </c>
      <c r="B13">
        <v>15800</v>
      </c>
      <c r="D13">
        <v>0</v>
      </c>
      <c r="E13">
        <v>7</v>
      </c>
      <c r="F13">
        <v>15800</v>
      </c>
      <c r="G13">
        <v>0.3</v>
      </c>
      <c r="H13">
        <v>1829</v>
      </c>
      <c r="I13">
        <v>5123</v>
      </c>
    </row>
    <row r="14" spans="1:9" x14ac:dyDescent="0.4">
      <c r="A14" t="s">
        <v>553</v>
      </c>
      <c r="B14">
        <v>15900</v>
      </c>
      <c r="C14">
        <v>474</v>
      </c>
      <c r="D14">
        <v>3</v>
      </c>
      <c r="E14">
        <v>16</v>
      </c>
      <c r="F14">
        <v>15900</v>
      </c>
      <c r="G14">
        <v>0.1</v>
      </c>
      <c r="H14">
        <v>2732</v>
      </c>
      <c r="I14">
        <v>4227</v>
      </c>
    </row>
    <row r="15" spans="1:9" x14ac:dyDescent="0.4">
      <c r="A15" t="s">
        <v>553</v>
      </c>
      <c r="B15">
        <v>15950</v>
      </c>
      <c r="D15">
        <v>0</v>
      </c>
      <c r="E15">
        <v>5</v>
      </c>
      <c r="F15">
        <v>15950</v>
      </c>
      <c r="G15">
        <v>0.2</v>
      </c>
      <c r="H15">
        <v>1581</v>
      </c>
      <c r="I15">
        <v>2167</v>
      </c>
    </row>
    <row r="16" spans="1:9" x14ac:dyDescent="0.4">
      <c r="A16" t="s">
        <v>553</v>
      </c>
      <c r="B16">
        <v>16000</v>
      </c>
      <c r="C16">
        <v>351</v>
      </c>
      <c r="D16">
        <v>25</v>
      </c>
      <c r="E16">
        <v>74</v>
      </c>
      <c r="F16">
        <v>16000</v>
      </c>
      <c r="G16">
        <v>0.2</v>
      </c>
      <c r="H16">
        <v>8398</v>
      </c>
      <c r="I16">
        <v>8379</v>
      </c>
    </row>
    <row r="17" spans="1:9" x14ac:dyDescent="0.4">
      <c r="A17" t="s">
        <v>553</v>
      </c>
      <c r="B17">
        <v>16050</v>
      </c>
      <c r="C17">
        <v>309</v>
      </c>
      <c r="D17">
        <v>26</v>
      </c>
      <c r="E17">
        <v>86</v>
      </c>
      <c r="F17">
        <v>16050</v>
      </c>
      <c r="G17">
        <v>0.1</v>
      </c>
      <c r="H17">
        <v>3165</v>
      </c>
      <c r="I17">
        <v>3701</v>
      </c>
    </row>
    <row r="18" spans="1:9" x14ac:dyDescent="0.4">
      <c r="A18" t="s">
        <v>553</v>
      </c>
      <c r="B18">
        <v>16100</v>
      </c>
      <c r="C18">
        <v>269</v>
      </c>
      <c r="D18">
        <v>200</v>
      </c>
      <c r="E18">
        <v>134</v>
      </c>
      <c r="F18">
        <v>16100</v>
      </c>
      <c r="G18">
        <v>0.1</v>
      </c>
      <c r="H18">
        <v>7656</v>
      </c>
      <c r="I18">
        <v>5698</v>
      </c>
    </row>
    <row r="19" spans="1:9" x14ac:dyDescent="0.4">
      <c r="A19" t="s">
        <v>553</v>
      </c>
      <c r="B19">
        <v>16150</v>
      </c>
      <c r="C19">
        <v>220</v>
      </c>
      <c r="D19">
        <v>328</v>
      </c>
      <c r="E19">
        <v>107</v>
      </c>
      <c r="F19">
        <v>16150</v>
      </c>
      <c r="G19">
        <v>0.1</v>
      </c>
      <c r="H19">
        <v>7198</v>
      </c>
      <c r="I19">
        <v>3883</v>
      </c>
    </row>
    <row r="20" spans="1:9" x14ac:dyDescent="0.4">
      <c r="A20" t="s">
        <v>553</v>
      </c>
      <c r="B20">
        <v>16200</v>
      </c>
      <c r="C20">
        <v>170</v>
      </c>
      <c r="D20">
        <v>1327</v>
      </c>
      <c r="E20">
        <v>158</v>
      </c>
      <c r="F20">
        <v>16200</v>
      </c>
      <c r="G20">
        <v>0.1</v>
      </c>
      <c r="H20">
        <v>17629</v>
      </c>
      <c r="I20">
        <v>7226</v>
      </c>
    </row>
    <row r="21" spans="1:9" x14ac:dyDescent="0.4">
      <c r="A21" t="s">
        <v>553</v>
      </c>
      <c r="B21">
        <v>16250</v>
      </c>
      <c r="C21">
        <v>120</v>
      </c>
      <c r="D21">
        <v>3341</v>
      </c>
      <c r="E21">
        <v>294</v>
      </c>
      <c r="F21">
        <v>16250</v>
      </c>
      <c r="G21">
        <v>0.1</v>
      </c>
      <c r="H21">
        <v>24614</v>
      </c>
      <c r="I21">
        <v>6850</v>
      </c>
    </row>
    <row r="22" spans="1:9" x14ac:dyDescent="0.4">
      <c r="A22" t="s">
        <v>553</v>
      </c>
      <c r="B22">
        <v>16300</v>
      </c>
      <c r="C22">
        <v>69</v>
      </c>
      <c r="D22">
        <v>19352</v>
      </c>
      <c r="E22">
        <v>1588</v>
      </c>
      <c r="F22">
        <v>16300</v>
      </c>
      <c r="G22">
        <v>0.1</v>
      </c>
      <c r="H22">
        <v>61451</v>
      </c>
      <c r="I22">
        <v>11462</v>
      </c>
    </row>
    <row r="23" spans="1:9" x14ac:dyDescent="0.4">
      <c r="A23" t="s">
        <v>553</v>
      </c>
      <c r="B23">
        <v>16350</v>
      </c>
      <c r="C23">
        <v>20</v>
      </c>
      <c r="D23">
        <v>56456</v>
      </c>
      <c r="E23">
        <v>4089</v>
      </c>
      <c r="F23">
        <v>16350</v>
      </c>
      <c r="G23">
        <v>0.1</v>
      </c>
      <c r="H23">
        <v>76724</v>
      </c>
      <c r="I23">
        <v>13731</v>
      </c>
    </row>
    <row r="24" spans="1:9" x14ac:dyDescent="0.4">
      <c r="A24" t="s">
        <v>553</v>
      </c>
      <c r="B24">
        <v>16400</v>
      </c>
      <c r="C24">
        <v>0.1</v>
      </c>
      <c r="D24">
        <v>78614</v>
      </c>
      <c r="E24">
        <v>17979</v>
      </c>
      <c r="F24">
        <v>16400</v>
      </c>
      <c r="G24">
        <v>30.5</v>
      </c>
      <c r="H24">
        <v>92297</v>
      </c>
      <c r="I24">
        <v>4819</v>
      </c>
    </row>
    <row r="25" spans="1:9" x14ac:dyDescent="0.4">
      <c r="A25" t="s">
        <v>553</v>
      </c>
      <c r="B25">
        <v>16450</v>
      </c>
      <c r="C25">
        <v>0.1</v>
      </c>
      <c r="D25">
        <v>64404</v>
      </c>
      <c r="E25">
        <v>12016</v>
      </c>
      <c r="F25">
        <v>16450</v>
      </c>
      <c r="G25">
        <v>80</v>
      </c>
      <c r="H25">
        <v>64777</v>
      </c>
      <c r="I25">
        <v>3549</v>
      </c>
    </row>
    <row r="26" spans="1:9" x14ac:dyDescent="0.4">
      <c r="A26" t="s">
        <v>553</v>
      </c>
      <c r="B26">
        <v>16500</v>
      </c>
      <c r="C26">
        <v>0.1</v>
      </c>
      <c r="D26">
        <v>76334</v>
      </c>
      <c r="E26">
        <v>11535</v>
      </c>
      <c r="F26">
        <v>16500</v>
      </c>
      <c r="G26">
        <v>130</v>
      </c>
      <c r="H26">
        <v>54543</v>
      </c>
      <c r="I26">
        <v>2962</v>
      </c>
    </row>
    <row r="27" spans="1:9" x14ac:dyDescent="0.4">
      <c r="A27" t="s">
        <v>553</v>
      </c>
      <c r="B27">
        <v>16550</v>
      </c>
      <c r="C27">
        <v>0.1</v>
      </c>
      <c r="D27">
        <v>66053</v>
      </c>
      <c r="E27">
        <v>8138</v>
      </c>
      <c r="F27">
        <v>16550</v>
      </c>
      <c r="G27">
        <v>181</v>
      </c>
      <c r="H27">
        <v>24149</v>
      </c>
      <c r="I27">
        <v>1356</v>
      </c>
    </row>
    <row r="28" spans="1:9" x14ac:dyDescent="0.4">
      <c r="A28" t="s">
        <v>553</v>
      </c>
      <c r="B28">
        <v>16600</v>
      </c>
      <c r="C28">
        <v>0.1</v>
      </c>
      <c r="D28">
        <v>63038</v>
      </c>
      <c r="E28">
        <v>11957</v>
      </c>
      <c r="F28">
        <v>16600</v>
      </c>
      <c r="G28">
        <v>230</v>
      </c>
      <c r="H28">
        <v>19687</v>
      </c>
      <c r="I28">
        <v>2281</v>
      </c>
    </row>
    <row r="29" spans="1:9" x14ac:dyDescent="0.4">
      <c r="A29" t="s">
        <v>553</v>
      </c>
      <c r="B29">
        <v>16650</v>
      </c>
      <c r="C29">
        <v>0.2</v>
      </c>
      <c r="D29">
        <v>37835</v>
      </c>
      <c r="E29">
        <v>9406</v>
      </c>
      <c r="F29">
        <v>16650</v>
      </c>
      <c r="G29">
        <v>280</v>
      </c>
      <c r="H29">
        <v>6726</v>
      </c>
      <c r="I29">
        <v>1642</v>
      </c>
    </row>
    <row r="30" spans="1:9" x14ac:dyDescent="0.4">
      <c r="A30" t="s">
        <v>553</v>
      </c>
      <c r="B30">
        <v>16700</v>
      </c>
      <c r="C30">
        <v>0.1</v>
      </c>
      <c r="D30">
        <v>23182</v>
      </c>
      <c r="E30">
        <v>9506</v>
      </c>
      <c r="F30">
        <v>16700</v>
      </c>
      <c r="G30">
        <v>330</v>
      </c>
      <c r="H30">
        <v>3388</v>
      </c>
      <c r="I30">
        <v>1847</v>
      </c>
    </row>
    <row r="31" spans="1:9" x14ac:dyDescent="0.4">
      <c r="A31" t="s">
        <v>553</v>
      </c>
      <c r="B31">
        <v>16750</v>
      </c>
      <c r="C31">
        <v>0.2</v>
      </c>
      <c r="D31">
        <v>11262</v>
      </c>
      <c r="E31">
        <v>7120</v>
      </c>
      <c r="F31">
        <v>16750</v>
      </c>
      <c r="G31">
        <v>380</v>
      </c>
      <c r="H31">
        <v>670</v>
      </c>
      <c r="I31">
        <v>945</v>
      </c>
    </row>
    <row r="32" spans="1:9" x14ac:dyDescent="0.4">
      <c r="A32" t="s">
        <v>553</v>
      </c>
      <c r="B32">
        <v>16800</v>
      </c>
      <c r="C32">
        <v>0.3</v>
      </c>
      <c r="D32">
        <v>6402</v>
      </c>
      <c r="E32">
        <v>6597</v>
      </c>
      <c r="F32">
        <v>16800</v>
      </c>
      <c r="G32">
        <v>431</v>
      </c>
      <c r="H32">
        <v>310</v>
      </c>
      <c r="I32">
        <v>787</v>
      </c>
    </row>
    <row r="33" spans="1:9" x14ac:dyDescent="0.4">
      <c r="A33" t="s">
        <v>553</v>
      </c>
      <c r="B33">
        <v>16850</v>
      </c>
      <c r="C33">
        <v>0.3</v>
      </c>
      <c r="D33">
        <v>2992</v>
      </c>
      <c r="E33">
        <v>4484</v>
      </c>
      <c r="F33">
        <v>16850</v>
      </c>
      <c r="G33">
        <v>483</v>
      </c>
      <c r="H33">
        <v>109</v>
      </c>
      <c r="I33">
        <v>224</v>
      </c>
    </row>
    <row r="34" spans="1:9" x14ac:dyDescent="0.4">
      <c r="A34" t="s">
        <v>553</v>
      </c>
      <c r="B34">
        <v>16900</v>
      </c>
      <c r="C34">
        <v>0.1</v>
      </c>
      <c r="D34">
        <v>2493</v>
      </c>
      <c r="E34">
        <v>4636</v>
      </c>
      <c r="F34">
        <v>16900</v>
      </c>
      <c r="G34">
        <v>525</v>
      </c>
      <c r="H34">
        <v>84</v>
      </c>
      <c r="I34">
        <v>337</v>
      </c>
    </row>
    <row r="35" spans="1:9" x14ac:dyDescent="0.4">
      <c r="A35" t="s">
        <v>553</v>
      </c>
      <c r="B35">
        <v>16950</v>
      </c>
      <c r="C35">
        <v>0.3</v>
      </c>
      <c r="D35">
        <v>1196</v>
      </c>
      <c r="E35">
        <v>3152</v>
      </c>
      <c r="F35">
        <v>16950</v>
      </c>
      <c r="G35">
        <v>545</v>
      </c>
      <c r="H35">
        <v>29</v>
      </c>
      <c r="I35">
        <v>48</v>
      </c>
    </row>
    <row r="36" spans="1:9" x14ac:dyDescent="0.4">
      <c r="A36" t="s">
        <v>553</v>
      </c>
      <c r="B36">
        <v>17000</v>
      </c>
      <c r="C36">
        <v>0.2</v>
      </c>
      <c r="D36">
        <v>1427</v>
      </c>
      <c r="E36">
        <v>6208</v>
      </c>
      <c r="F36">
        <v>17000</v>
      </c>
      <c r="G36">
        <v>640</v>
      </c>
      <c r="H36">
        <v>42</v>
      </c>
      <c r="I36">
        <v>106</v>
      </c>
    </row>
    <row r="37" spans="1:9" x14ac:dyDescent="0.4">
      <c r="A37" t="s">
        <v>553</v>
      </c>
      <c r="B37">
        <v>17050</v>
      </c>
      <c r="C37">
        <v>0.1</v>
      </c>
      <c r="D37">
        <v>412</v>
      </c>
      <c r="E37">
        <v>1664</v>
      </c>
      <c r="F37">
        <v>17050</v>
      </c>
      <c r="H37">
        <v>0</v>
      </c>
      <c r="I37">
        <v>0</v>
      </c>
    </row>
    <row r="38" spans="1:9" x14ac:dyDescent="0.4">
      <c r="A38" t="s">
        <v>553</v>
      </c>
      <c r="B38">
        <v>17100</v>
      </c>
      <c r="C38">
        <v>0.1</v>
      </c>
      <c r="D38">
        <v>1026</v>
      </c>
      <c r="E38">
        <v>6386</v>
      </c>
      <c r="F38">
        <v>17100</v>
      </c>
      <c r="G38">
        <v>715</v>
      </c>
      <c r="H38">
        <v>24</v>
      </c>
      <c r="I38">
        <v>38</v>
      </c>
    </row>
    <row r="39" spans="1:9" x14ac:dyDescent="0.4">
      <c r="A39" t="s">
        <v>553</v>
      </c>
      <c r="B39">
        <v>17150</v>
      </c>
      <c r="C39">
        <v>0.1</v>
      </c>
      <c r="D39">
        <v>361</v>
      </c>
      <c r="E39">
        <v>1779</v>
      </c>
      <c r="F39">
        <v>17150</v>
      </c>
      <c r="H39">
        <v>0</v>
      </c>
      <c r="I39">
        <v>7</v>
      </c>
    </row>
    <row r="40" spans="1:9" x14ac:dyDescent="0.4">
      <c r="A40" t="s">
        <v>553</v>
      </c>
      <c r="B40">
        <v>17200</v>
      </c>
      <c r="C40">
        <v>0.2</v>
      </c>
      <c r="D40">
        <v>825</v>
      </c>
      <c r="E40">
        <v>2675</v>
      </c>
      <c r="F40">
        <v>17200</v>
      </c>
      <c r="H40">
        <v>0</v>
      </c>
      <c r="I40">
        <v>18</v>
      </c>
    </row>
    <row r="41" spans="1:9" x14ac:dyDescent="0.4">
      <c r="A41" t="s">
        <v>553</v>
      </c>
      <c r="B41">
        <v>17300</v>
      </c>
      <c r="C41">
        <v>0.1</v>
      </c>
      <c r="D41">
        <v>470</v>
      </c>
      <c r="E41">
        <v>1778</v>
      </c>
      <c r="F41">
        <v>17300</v>
      </c>
      <c r="G41">
        <v>910</v>
      </c>
      <c r="H41">
        <v>2</v>
      </c>
      <c r="I41">
        <v>8</v>
      </c>
    </row>
    <row r="42" spans="1:9" x14ac:dyDescent="0.4">
      <c r="A42" t="s">
        <v>553</v>
      </c>
      <c r="B42">
        <v>17400</v>
      </c>
      <c r="C42">
        <v>0.1</v>
      </c>
      <c r="D42">
        <v>335</v>
      </c>
      <c r="E42">
        <v>1023</v>
      </c>
      <c r="F42">
        <v>17400</v>
      </c>
      <c r="H42">
        <v>0</v>
      </c>
      <c r="I42">
        <v>2</v>
      </c>
    </row>
    <row r="43" spans="1:9" x14ac:dyDescent="0.4">
      <c r="A43" t="s">
        <v>553</v>
      </c>
      <c r="B43">
        <v>17500</v>
      </c>
      <c r="C43">
        <v>0.2</v>
      </c>
      <c r="D43">
        <v>302</v>
      </c>
      <c r="E43">
        <v>735</v>
      </c>
      <c r="F43">
        <v>17500</v>
      </c>
      <c r="H43">
        <v>0</v>
      </c>
      <c r="I43">
        <v>0</v>
      </c>
    </row>
    <row r="44" spans="1:9" x14ac:dyDescent="0.4">
      <c r="A44" t="s">
        <v>553</v>
      </c>
      <c r="B44">
        <v>17600</v>
      </c>
      <c r="C44">
        <v>0.1</v>
      </c>
      <c r="D44">
        <v>30</v>
      </c>
      <c r="E44">
        <v>82</v>
      </c>
      <c r="F44">
        <v>17600</v>
      </c>
      <c r="H44">
        <v>0</v>
      </c>
      <c r="I44">
        <v>0</v>
      </c>
    </row>
    <row r="45" spans="1:9" x14ac:dyDescent="0.4">
      <c r="A45" t="s">
        <v>553</v>
      </c>
      <c r="B45">
        <v>17700</v>
      </c>
      <c r="D45">
        <v>0</v>
      </c>
      <c r="E45">
        <v>70</v>
      </c>
      <c r="F45">
        <v>17700</v>
      </c>
      <c r="H45">
        <v>0</v>
      </c>
      <c r="I45">
        <v>0</v>
      </c>
    </row>
    <row r="46" spans="1:9" x14ac:dyDescent="0.4">
      <c r="A46" t="s">
        <v>553</v>
      </c>
      <c r="B46">
        <v>17800</v>
      </c>
      <c r="D46">
        <v>0</v>
      </c>
      <c r="E46">
        <v>214</v>
      </c>
      <c r="F46">
        <v>17800</v>
      </c>
      <c r="H46">
        <v>9</v>
      </c>
      <c r="I46">
        <v>1</v>
      </c>
    </row>
    <row r="47" spans="1:9" x14ac:dyDescent="0.4">
      <c r="A47" t="s">
        <v>553</v>
      </c>
      <c r="B47">
        <v>17900</v>
      </c>
      <c r="D47">
        <v>0</v>
      </c>
      <c r="E47">
        <v>304</v>
      </c>
      <c r="F47">
        <v>17900</v>
      </c>
      <c r="H47">
        <v>0</v>
      </c>
      <c r="I47">
        <v>0</v>
      </c>
    </row>
    <row r="48" spans="1:9" x14ac:dyDescent="0.4">
      <c r="A48" t="s">
        <v>553</v>
      </c>
      <c r="B48">
        <v>18000</v>
      </c>
      <c r="D48">
        <v>0</v>
      </c>
      <c r="E48">
        <v>3</v>
      </c>
      <c r="F48">
        <v>18000</v>
      </c>
      <c r="H48">
        <v>0</v>
      </c>
      <c r="I48">
        <v>0</v>
      </c>
    </row>
    <row r="49" spans="1:9" x14ac:dyDescent="0.4">
      <c r="A49" t="s">
        <v>553</v>
      </c>
      <c r="B49">
        <v>18100</v>
      </c>
      <c r="D49">
        <v>0</v>
      </c>
      <c r="E49">
        <v>1</v>
      </c>
      <c r="F49">
        <v>18100</v>
      </c>
      <c r="H49">
        <v>0</v>
      </c>
      <c r="I49">
        <v>0</v>
      </c>
    </row>
    <row r="50" spans="1:9" x14ac:dyDescent="0.4">
      <c r="A50" t="s">
        <v>553</v>
      </c>
      <c r="B50">
        <v>18200</v>
      </c>
      <c r="D50">
        <v>1</v>
      </c>
      <c r="E50">
        <v>16</v>
      </c>
      <c r="F50">
        <v>18200</v>
      </c>
      <c r="H50">
        <v>0</v>
      </c>
      <c r="I50">
        <v>0</v>
      </c>
    </row>
    <row r="51" spans="1:9" x14ac:dyDescent="0.4">
      <c r="A51" t="s">
        <v>553</v>
      </c>
      <c r="B51">
        <v>18300</v>
      </c>
      <c r="D51">
        <v>0</v>
      </c>
      <c r="E51">
        <v>0</v>
      </c>
      <c r="F51">
        <v>18300</v>
      </c>
      <c r="H51">
        <v>0</v>
      </c>
      <c r="I51">
        <v>0</v>
      </c>
    </row>
    <row r="52" spans="1:9" x14ac:dyDescent="0.4">
      <c r="A52" t="s">
        <v>553</v>
      </c>
      <c r="B52">
        <v>18400</v>
      </c>
      <c r="D52">
        <v>0</v>
      </c>
      <c r="E52">
        <v>3</v>
      </c>
      <c r="F52">
        <v>18400</v>
      </c>
      <c r="H52">
        <v>0</v>
      </c>
      <c r="I52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8D256-D431-416E-B183-82429B818F55}">
  <sheetPr codeName="工作表15"/>
  <dimension ref="A1:I81"/>
  <sheetViews>
    <sheetView topLeftCell="A31" workbookViewId="0">
      <selection activeCell="C41" sqref="C41"/>
    </sheetView>
  </sheetViews>
  <sheetFormatPr defaultRowHeight="17" x14ac:dyDescent="0.4"/>
  <cols>
    <col min="1" max="1" width="10.1796875" bestFit="1" customWidth="1"/>
    <col min="2" max="2" width="11.90625" bestFit="1" customWidth="1"/>
    <col min="3" max="3" width="9.54296875" bestFit="1" customWidth="1"/>
    <col min="4" max="5" width="11.90625" bestFit="1" customWidth="1"/>
    <col min="6" max="6" width="11.1796875" bestFit="1" customWidth="1"/>
    <col min="7" max="7" width="8.90625" bestFit="1" customWidth="1"/>
    <col min="8" max="9" width="11.1796875" bestFit="1" customWidth="1"/>
  </cols>
  <sheetData>
    <row r="1" spans="1:9" s="92" customFormat="1" x14ac:dyDescent="0.4">
      <c r="A1" s="92" t="s">
        <v>239</v>
      </c>
      <c r="B1" s="92" t="s">
        <v>537</v>
      </c>
      <c r="C1" s="92" t="s">
        <v>538</v>
      </c>
      <c r="D1" s="92" t="s">
        <v>539</v>
      </c>
      <c r="E1" s="92" t="s">
        <v>540</v>
      </c>
      <c r="F1" s="92" t="s">
        <v>541</v>
      </c>
      <c r="G1" s="92" t="s">
        <v>542</v>
      </c>
      <c r="H1" s="92" t="s">
        <v>543</v>
      </c>
      <c r="I1" s="92" t="s">
        <v>544</v>
      </c>
    </row>
    <row r="2" spans="1:9" x14ac:dyDescent="0.4">
      <c r="A2">
        <v>202110</v>
      </c>
      <c r="B2">
        <v>13800</v>
      </c>
      <c r="D2">
        <v>0</v>
      </c>
      <c r="E2">
        <v>3</v>
      </c>
      <c r="F2">
        <v>13800</v>
      </c>
      <c r="G2">
        <v>0.1</v>
      </c>
      <c r="H2">
        <v>58</v>
      </c>
      <c r="I2">
        <v>5723</v>
      </c>
    </row>
    <row r="3" spans="1:9" x14ac:dyDescent="0.4">
      <c r="A3">
        <v>202110</v>
      </c>
      <c r="B3">
        <v>13900</v>
      </c>
      <c r="D3">
        <v>0</v>
      </c>
      <c r="E3">
        <v>0</v>
      </c>
      <c r="F3">
        <v>13900</v>
      </c>
      <c r="G3">
        <v>0.2</v>
      </c>
      <c r="H3">
        <v>23</v>
      </c>
      <c r="I3">
        <v>3528</v>
      </c>
    </row>
    <row r="4" spans="1:9" x14ac:dyDescent="0.4">
      <c r="A4">
        <v>202110</v>
      </c>
      <c r="B4">
        <v>14000</v>
      </c>
      <c r="D4">
        <v>0</v>
      </c>
      <c r="E4">
        <v>0</v>
      </c>
      <c r="F4">
        <v>14000</v>
      </c>
      <c r="G4">
        <v>0.2</v>
      </c>
      <c r="H4">
        <v>20</v>
      </c>
      <c r="I4">
        <v>2698</v>
      </c>
    </row>
    <row r="5" spans="1:9" x14ac:dyDescent="0.4">
      <c r="A5">
        <v>202110</v>
      </c>
      <c r="B5">
        <v>14100</v>
      </c>
      <c r="D5">
        <v>0</v>
      </c>
      <c r="E5">
        <v>0</v>
      </c>
      <c r="F5">
        <v>14100</v>
      </c>
      <c r="G5">
        <v>0.3</v>
      </c>
      <c r="H5">
        <v>32</v>
      </c>
      <c r="I5">
        <v>370</v>
      </c>
    </row>
    <row r="6" spans="1:9" x14ac:dyDescent="0.4">
      <c r="A6">
        <v>202110</v>
      </c>
      <c r="B6">
        <v>14200</v>
      </c>
      <c r="D6">
        <v>0</v>
      </c>
      <c r="E6">
        <v>0</v>
      </c>
      <c r="F6">
        <v>14200</v>
      </c>
      <c r="G6">
        <v>0.2</v>
      </c>
      <c r="H6">
        <v>17</v>
      </c>
      <c r="I6">
        <v>490</v>
      </c>
    </row>
    <row r="7" spans="1:9" x14ac:dyDescent="0.4">
      <c r="A7">
        <v>202110</v>
      </c>
      <c r="B7">
        <v>14300</v>
      </c>
      <c r="D7">
        <v>0</v>
      </c>
      <c r="E7">
        <v>0</v>
      </c>
      <c r="F7">
        <v>14300</v>
      </c>
      <c r="H7">
        <v>0</v>
      </c>
      <c r="I7">
        <v>442</v>
      </c>
    </row>
    <row r="8" spans="1:9" x14ac:dyDescent="0.4">
      <c r="A8">
        <v>202110</v>
      </c>
      <c r="B8">
        <v>14400</v>
      </c>
      <c r="D8">
        <v>0</v>
      </c>
      <c r="E8">
        <v>57</v>
      </c>
      <c r="F8">
        <v>14400</v>
      </c>
      <c r="G8">
        <v>0.3</v>
      </c>
      <c r="H8">
        <v>11</v>
      </c>
      <c r="I8">
        <v>754</v>
      </c>
    </row>
    <row r="9" spans="1:9" x14ac:dyDescent="0.4">
      <c r="A9">
        <v>202110</v>
      </c>
      <c r="B9">
        <v>14500</v>
      </c>
      <c r="D9">
        <v>0</v>
      </c>
      <c r="E9">
        <v>5</v>
      </c>
      <c r="F9">
        <v>14500</v>
      </c>
      <c r="G9">
        <v>0.5</v>
      </c>
      <c r="H9">
        <v>28</v>
      </c>
      <c r="I9">
        <v>3795</v>
      </c>
    </row>
    <row r="10" spans="1:9" x14ac:dyDescent="0.4">
      <c r="A10">
        <v>202110</v>
      </c>
      <c r="B10">
        <v>14600</v>
      </c>
      <c r="D10">
        <v>0</v>
      </c>
      <c r="E10">
        <v>0</v>
      </c>
      <c r="F10">
        <v>14600</v>
      </c>
      <c r="G10">
        <v>0.3</v>
      </c>
      <c r="H10">
        <v>32</v>
      </c>
      <c r="I10">
        <v>2124</v>
      </c>
    </row>
    <row r="11" spans="1:9" x14ac:dyDescent="0.4">
      <c r="A11">
        <v>202110</v>
      </c>
      <c r="B11">
        <v>14700</v>
      </c>
      <c r="D11">
        <v>0</v>
      </c>
      <c r="E11">
        <v>0</v>
      </c>
      <c r="F11">
        <v>14700</v>
      </c>
      <c r="G11">
        <v>0.6</v>
      </c>
      <c r="H11">
        <v>196</v>
      </c>
      <c r="I11">
        <v>2311</v>
      </c>
    </row>
    <row r="12" spans="1:9" x14ac:dyDescent="0.4">
      <c r="A12">
        <v>202110</v>
      </c>
      <c r="B12">
        <v>14800</v>
      </c>
      <c r="D12">
        <v>0</v>
      </c>
      <c r="E12">
        <v>0</v>
      </c>
      <c r="F12">
        <v>14800</v>
      </c>
      <c r="G12">
        <v>0.6</v>
      </c>
      <c r="H12">
        <v>143</v>
      </c>
      <c r="I12">
        <v>1844</v>
      </c>
    </row>
    <row r="13" spans="1:9" x14ac:dyDescent="0.4">
      <c r="A13">
        <v>202110</v>
      </c>
      <c r="B13">
        <v>14900</v>
      </c>
      <c r="D13">
        <v>0</v>
      </c>
      <c r="E13">
        <v>0</v>
      </c>
      <c r="F13">
        <v>14900</v>
      </c>
      <c r="G13">
        <v>0.7</v>
      </c>
      <c r="H13">
        <v>304</v>
      </c>
      <c r="I13">
        <v>1462</v>
      </c>
    </row>
    <row r="14" spans="1:9" x14ac:dyDescent="0.4">
      <c r="A14">
        <v>202110</v>
      </c>
      <c r="B14">
        <v>15000</v>
      </c>
      <c r="D14">
        <v>0</v>
      </c>
      <c r="E14">
        <v>0</v>
      </c>
      <c r="F14">
        <v>15000</v>
      </c>
      <c r="G14">
        <v>0.9</v>
      </c>
      <c r="H14">
        <v>790</v>
      </c>
      <c r="I14">
        <v>11440</v>
      </c>
    </row>
    <row r="15" spans="1:9" x14ac:dyDescent="0.4">
      <c r="A15">
        <v>202110</v>
      </c>
      <c r="B15">
        <v>15100</v>
      </c>
      <c r="D15">
        <v>0</v>
      </c>
      <c r="E15">
        <v>0</v>
      </c>
      <c r="F15">
        <v>15100</v>
      </c>
      <c r="G15">
        <v>0.8</v>
      </c>
      <c r="H15">
        <v>242</v>
      </c>
      <c r="I15">
        <v>2121</v>
      </c>
    </row>
    <row r="16" spans="1:9" x14ac:dyDescent="0.4">
      <c r="A16">
        <v>202110</v>
      </c>
      <c r="B16">
        <v>15200</v>
      </c>
      <c r="D16">
        <v>0</v>
      </c>
      <c r="E16">
        <v>17</v>
      </c>
      <c r="F16">
        <v>15200</v>
      </c>
      <c r="G16">
        <v>1</v>
      </c>
      <c r="H16">
        <v>393</v>
      </c>
      <c r="I16">
        <v>4489</v>
      </c>
    </row>
    <row r="17" spans="1:9" x14ac:dyDescent="0.4">
      <c r="A17">
        <v>202110</v>
      </c>
      <c r="B17">
        <v>15300</v>
      </c>
      <c r="D17">
        <v>0</v>
      </c>
      <c r="E17">
        <v>0</v>
      </c>
      <c r="F17">
        <v>15300</v>
      </c>
      <c r="G17">
        <v>1.1000000000000001</v>
      </c>
      <c r="H17">
        <v>751</v>
      </c>
      <c r="I17">
        <v>4431</v>
      </c>
    </row>
    <row r="18" spans="1:9" x14ac:dyDescent="0.4">
      <c r="A18">
        <v>202110</v>
      </c>
      <c r="B18">
        <v>15400</v>
      </c>
      <c r="D18">
        <v>0</v>
      </c>
      <c r="E18">
        <v>0</v>
      </c>
      <c r="F18">
        <v>15400</v>
      </c>
      <c r="G18">
        <v>1.3</v>
      </c>
      <c r="H18">
        <v>555</v>
      </c>
      <c r="I18">
        <v>3981</v>
      </c>
    </row>
    <row r="19" spans="1:9" x14ac:dyDescent="0.4">
      <c r="A19">
        <v>202110</v>
      </c>
      <c r="B19">
        <v>15500</v>
      </c>
      <c r="D19">
        <v>0</v>
      </c>
      <c r="E19">
        <v>60</v>
      </c>
      <c r="F19">
        <v>15500</v>
      </c>
      <c r="G19">
        <v>1.6</v>
      </c>
      <c r="H19">
        <v>898</v>
      </c>
      <c r="I19">
        <v>7013</v>
      </c>
    </row>
    <row r="20" spans="1:9" x14ac:dyDescent="0.4">
      <c r="A20">
        <v>202110</v>
      </c>
      <c r="B20">
        <v>15600</v>
      </c>
      <c r="D20">
        <v>0</v>
      </c>
      <c r="E20">
        <v>44</v>
      </c>
      <c r="F20">
        <v>15600</v>
      </c>
      <c r="G20">
        <v>1.7</v>
      </c>
      <c r="H20">
        <v>979</v>
      </c>
      <c r="I20">
        <v>4893</v>
      </c>
    </row>
    <row r="21" spans="1:9" x14ac:dyDescent="0.4">
      <c r="A21">
        <v>202110</v>
      </c>
      <c r="B21">
        <v>15700</v>
      </c>
      <c r="D21">
        <v>0</v>
      </c>
      <c r="E21">
        <v>18</v>
      </c>
      <c r="F21">
        <v>15700</v>
      </c>
      <c r="G21">
        <v>2</v>
      </c>
      <c r="H21">
        <v>1355</v>
      </c>
      <c r="I21">
        <v>4724</v>
      </c>
    </row>
    <row r="22" spans="1:9" x14ac:dyDescent="0.4">
      <c r="A22">
        <v>202110</v>
      </c>
      <c r="B22">
        <v>15800</v>
      </c>
      <c r="D22">
        <v>0</v>
      </c>
      <c r="E22">
        <v>179</v>
      </c>
      <c r="F22">
        <v>15800</v>
      </c>
      <c r="G22">
        <v>1.5</v>
      </c>
      <c r="H22">
        <v>1646</v>
      </c>
      <c r="I22">
        <v>8578</v>
      </c>
    </row>
    <row r="23" spans="1:9" x14ac:dyDescent="0.4">
      <c r="A23">
        <v>202110</v>
      </c>
      <c r="B23">
        <v>15900</v>
      </c>
      <c r="D23">
        <v>0</v>
      </c>
      <c r="E23">
        <v>92</v>
      </c>
      <c r="F23">
        <v>15900</v>
      </c>
      <c r="G23">
        <v>2.1</v>
      </c>
      <c r="H23">
        <v>2098</v>
      </c>
      <c r="I23">
        <v>8110</v>
      </c>
    </row>
    <row r="24" spans="1:9" x14ac:dyDescent="0.4">
      <c r="A24">
        <v>202110</v>
      </c>
      <c r="B24">
        <v>15950</v>
      </c>
      <c r="D24">
        <v>0</v>
      </c>
      <c r="E24">
        <v>1</v>
      </c>
      <c r="F24">
        <v>15950</v>
      </c>
      <c r="G24">
        <v>2.8</v>
      </c>
      <c r="H24">
        <v>3737</v>
      </c>
      <c r="I24">
        <v>2298</v>
      </c>
    </row>
    <row r="25" spans="1:9" x14ac:dyDescent="0.4">
      <c r="A25">
        <v>202110</v>
      </c>
      <c r="B25">
        <v>16000</v>
      </c>
      <c r="C25">
        <v>720</v>
      </c>
      <c r="D25">
        <v>16</v>
      </c>
      <c r="E25">
        <v>236</v>
      </c>
      <c r="F25">
        <v>16000</v>
      </c>
      <c r="G25">
        <v>3.6</v>
      </c>
      <c r="H25">
        <v>4420</v>
      </c>
      <c r="I25">
        <v>14773</v>
      </c>
    </row>
    <row r="26" spans="1:9" x14ac:dyDescent="0.4">
      <c r="A26">
        <v>202110</v>
      </c>
      <c r="B26">
        <v>16050</v>
      </c>
      <c r="D26">
        <v>0</v>
      </c>
      <c r="E26">
        <v>14</v>
      </c>
      <c r="F26">
        <v>16050</v>
      </c>
      <c r="G26">
        <v>3.8</v>
      </c>
      <c r="H26">
        <v>2150</v>
      </c>
      <c r="I26">
        <v>2700</v>
      </c>
    </row>
    <row r="27" spans="1:9" x14ac:dyDescent="0.4">
      <c r="A27">
        <v>202110</v>
      </c>
      <c r="B27">
        <v>16100</v>
      </c>
      <c r="C27">
        <v>620</v>
      </c>
      <c r="D27">
        <v>118</v>
      </c>
      <c r="E27">
        <v>218</v>
      </c>
      <c r="F27">
        <v>16100</v>
      </c>
      <c r="G27">
        <v>4.5</v>
      </c>
      <c r="H27">
        <v>4967</v>
      </c>
      <c r="I27">
        <v>7661</v>
      </c>
    </row>
    <row r="28" spans="1:9" x14ac:dyDescent="0.4">
      <c r="A28">
        <v>202110</v>
      </c>
      <c r="B28">
        <v>16150</v>
      </c>
      <c r="D28">
        <v>0</v>
      </c>
      <c r="E28">
        <v>59</v>
      </c>
      <c r="F28">
        <v>16150</v>
      </c>
      <c r="G28">
        <v>5</v>
      </c>
      <c r="H28">
        <v>2526</v>
      </c>
      <c r="I28">
        <v>2820</v>
      </c>
    </row>
    <row r="29" spans="1:9" x14ac:dyDescent="0.4">
      <c r="A29">
        <v>202110</v>
      </c>
      <c r="B29">
        <v>16200</v>
      </c>
      <c r="C29">
        <v>530</v>
      </c>
      <c r="D29">
        <v>18</v>
      </c>
      <c r="E29">
        <v>646</v>
      </c>
      <c r="F29">
        <v>16200</v>
      </c>
      <c r="G29">
        <v>6.2</v>
      </c>
      <c r="H29">
        <v>7628</v>
      </c>
      <c r="I29">
        <v>8805</v>
      </c>
    </row>
    <row r="30" spans="1:9" x14ac:dyDescent="0.4">
      <c r="A30">
        <v>202110</v>
      </c>
      <c r="B30">
        <v>16250</v>
      </c>
      <c r="C30">
        <v>481</v>
      </c>
      <c r="D30">
        <v>8</v>
      </c>
      <c r="E30">
        <v>114</v>
      </c>
      <c r="F30">
        <v>16250</v>
      </c>
      <c r="G30">
        <v>7.5</v>
      </c>
      <c r="H30">
        <v>3709</v>
      </c>
      <c r="I30">
        <v>3182</v>
      </c>
    </row>
    <row r="31" spans="1:9" x14ac:dyDescent="0.4">
      <c r="A31">
        <v>202110</v>
      </c>
      <c r="B31">
        <v>16300</v>
      </c>
      <c r="C31">
        <v>430</v>
      </c>
      <c r="D31">
        <v>171</v>
      </c>
      <c r="E31">
        <v>1573</v>
      </c>
      <c r="F31">
        <v>16300</v>
      </c>
      <c r="G31">
        <v>9.3000000000000007</v>
      </c>
      <c r="H31">
        <v>13406</v>
      </c>
      <c r="I31">
        <v>9436</v>
      </c>
    </row>
    <row r="32" spans="1:9" x14ac:dyDescent="0.4">
      <c r="A32">
        <v>202110</v>
      </c>
      <c r="B32">
        <v>16350</v>
      </c>
      <c r="C32">
        <v>382</v>
      </c>
      <c r="D32">
        <v>85</v>
      </c>
      <c r="E32">
        <v>499</v>
      </c>
      <c r="F32">
        <v>16350</v>
      </c>
      <c r="G32">
        <v>11.5</v>
      </c>
      <c r="H32">
        <v>7458</v>
      </c>
      <c r="I32">
        <v>3989</v>
      </c>
    </row>
    <row r="33" spans="1:9" x14ac:dyDescent="0.4">
      <c r="A33">
        <v>202110</v>
      </c>
      <c r="B33">
        <v>16400</v>
      </c>
      <c r="C33">
        <v>338</v>
      </c>
      <c r="D33">
        <v>612</v>
      </c>
      <c r="E33">
        <v>4688</v>
      </c>
      <c r="F33">
        <v>16400</v>
      </c>
      <c r="G33">
        <v>15.5</v>
      </c>
      <c r="H33">
        <v>18755</v>
      </c>
      <c r="I33">
        <v>16830</v>
      </c>
    </row>
    <row r="34" spans="1:9" x14ac:dyDescent="0.4">
      <c r="A34">
        <v>202110</v>
      </c>
      <c r="B34">
        <v>16450</v>
      </c>
      <c r="C34">
        <v>289</v>
      </c>
      <c r="D34">
        <v>310</v>
      </c>
      <c r="E34">
        <v>1024</v>
      </c>
      <c r="F34">
        <v>16450</v>
      </c>
      <c r="G34">
        <v>19.5</v>
      </c>
      <c r="H34">
        <v>10800</v>
      </c>
      <c r="I34">
        <v>5194</v>
      </c>
    </row>
    <row r="35" spans="1:9" x14ac:dyDescent="0.4">
      <c r="A35">
        <v>202110</v>
      </c>
      <c r="B35">
        <v>16500</v>
      </c>
      <c r="C35">
        <v>245</v>
      </c>
      <c r="D35">
        <v>1824</v>
      </c>
      <c r="E35">
        <v>4420</v>
      </c>
      <c r="F35">
        <v>16500</v>
      </c>
      <c r="G35">
        <v>26.5</v>
      </c>
      <c r="H35">
        <v>20465</v>
      </c>
      <c r="I35">
        <v>11974</v>
      </c>
    </row>
    <row r="36" spans="1:9" x14ac:dyDescent="0.4">
      <c r="A36">
        <v>202110</v>
      </c>
      <c r="B36">
        <v>16550</v>
      </c>
      <c r="C36">
        <v>201</v>
      </c>
      <c r="D36">
        <v>983</v>
      </c>
      <c r="E36">
        <v>1406</v>
      </c>
      <c r="F36">
        <v>16550</v>
      </c>
      <c r="G36">
        <v>34.5</v>
      </c>
      <c r="H36">
        <v>12600</v>
      </c>
      <c r="I36">
        <v>5399</v>
      </c>
    </row>
    <row r="37" spans="1:9" x14ac:dyDescent="0.4">
      <c r="A37">
        <v>202110</v>
      </c>
      <c r="B37">
        <v>16600</v>
      </c>
      <c r="C37">
        <v>168</v>
      </c>
      <c r="D37">
        <v>3148</v>
      </c>
      <c r="E37">
        <v>6497</v>
      </c>
      <c r="F37">
        <v>16600</v>
      </c>
      <c r="G37">
        <v>45</v>
      </c>
      <c r="H37">
        <v>20709</v>
      </c>
      <c r="I37">
        <v>10853</v>
      </c>
    </row>
    <row r="38" spans="1:9" x14ac:dyDescent="0.4">
      <c r="A38">
        <v>202110</v>
      </c>
      <c r="B38">
        <v>16650</v>
      </c>
      <c r="C38">
        <v>132</v>
      </c>
      <c r="D38">
        <v>2986</v>
      </c>
      <c r="E38">
        <v>2731</v>
      </c>
      <c r="F38">
        <v>16650</v>
      </c>
      <c r="G38">
        <v>61</v>
      </c>
      <c r="H38">
        <v>16479</v>
      </c>
      <c r="I38">
        <v>3910</v>
      </c>
    </row>
    <row r="39" spans="1:9" x14ac:dyDescent="0.4">
      <c r="A39">
        <v>202110</v>
      </c>
      <c r="B39">
        <v>16700</v>
      </c>
      <c r="C39">
        <v>101</v>
      </c>
      <c r="D39">
        <v>10409</v>
      </c>
      <c r="E39">
        <v>7631</v>
      </c>
      <c r="F39">
        <v>16700</v>
      </c>
      <c r="G39">
        <v>79</v>
      </c>
      <c r="H39">
        <v>29842</v>
      </c>
      <c r="I39">
        <v>9212</v>
      </c>
    </row>
    <row r="40" spans="1:9" x14ac:dyDescent="0.4">
      <c r="A40">
        <v>202110</v>
      </c>
      <c r="B40">
        <v>16750</v>
      </c>
      <c r="C40">
        <v>74</v>
      </c>
      <c r="D40">
        <v>13945</v>
      </c>
      <c r="E40">
        <v>4648</v>
      </c>
      <c r="F40">
        <v>16750</v>
      </c>
      <c r="G40">
        <v>101</v>
      </c>
      <c r="H40">
        <v>20329</v>
      </c>
      <c r="I40">
        <v>2904</v>
      </c>
    </row>
    <row r="41" spans="1:9" x14ac:dyDescent="0.4">
      <c r="A41">
        <v>202110</v>
      </c>
      <c r="B41">
        <v>16800</v>
      </c>
      <c r="C41">
        <v>52</v>
      </c>
      <c r="D41">
        <v>36491</v>
      </c>
      <c r="E41">
        <v>14226</v>
      </c>
      <c r="F41">
        <v>16800</v>
      </c>
      <c r="G41">
        <v>127</v>
      </c>
      <c r="H41">
        <v>27474</v>
      </c>
      <c r="I41">
        <v>6582</v>
      </c>
    </row>
    <row r="42" spans="1:9" x14ac:dyDescent="0.4">
      <c r="A42">
        <v>202110</v>
      </c>
      <c r="B42">
        <v>16850</v>
      </c>
      <c r="C42">
        <v>35</v>
      </c>
      <c r="D42">
        <v>27402</v>
      </c>
      <c r="E42">
        <v>8507</v>
      </c>
      <c r="F42">
        <v>16850</v>
      </c>
      <c r="G42">
        <v>159</v>
      </c>
      <c r="H42">
        <v>11124</v>
      </c>
      <c r="I42">
        <v>1231</v>
      </c>
    </row>
    <row r="43" spans="1:9" x14ac:dyDescent="0.4">
      <c r="A43">
        <v>202110</v>
      </c>
      <c r="B43">
        <v>16900</v>
      </c>
      <c r="C43">
        <v>21</v>
      </c>
      <c r="D43">
        <v>39924</v>
      </c>
      <c r="E43">
        <v>18464</v>
      </c>
      <c r="F43">
        <v>16900</v>
      </c>
      <c r="G43">
        <v>201</v>
      </c>
      <c r="H43">
        <v>9648</v>
      </c>
      <c r="I43">
        <v>3553</v>
      </c>
    </row>
    <row r="44" spans="1:9" x14ac:dyDescent="0.4">
      <c r="A44">
        <v>202110</v>
      </c>
      <c r="B44">
        <v>16950</v>
      </c>
      <c r="C44">
        <v>12.5</v>
      </c>
      <c r="D44">
        <v>27529</v>
      </c>
      <c r="E44">
        <v>10817</v>
      </c>
      <c r="F44">
        <v>16950</v>
      </c>
      <c r="G44">
        <v>246</v>
      </c>
      <c r="H44">
        <v>2008</v>
      </c>
      <c r="I44">
        <v>190</v>
      </c>
    </row>
    <row r="45" spans="1:9" x14ac:dyDescent="0.4">
      <c r="A45">
        <v>202110</v>
      </c>
      <c r="B45">
        <v>17000</v>
      </c>
      <c r="C45">
        <v>7.6</v>
      </c>
      <c r="D45">
        <v>40210</v>
      </c>
      <c r="E45">
        <v>23065</v>
      </c>
      <c r="F45">
        <v>17000</v>
      </c>
      <c r="G45">
        <v>285</v>
      </c>
      <c r="H45">
        <v>2447</v>
      </c>
      <c r="I45">
        <v>3129</v>
      </c>
    </row>
    <row r="46" spans="1:9" x14ac:dyDescent="0.4">
      <c r="A46">
        <v>202110</v>
      </c>
      <c r="B46">
        <v>17050</v>
      </c>
      <c r="C46">
        <v>4.3</v>
      </c>
      <c r="D46">
        <v>14095</v>
      </c>
      <c r="E46">
        <v>6549</v>
      </c>
      <c r="F46">
        <v>17050</v>
      </c>
      <c r="G46">
        <v>338</v>
      </c>
      <c r="H46">
        <v>36</v>
      </c>
      <c r="I46">
        <v>20</v>
      </c>
    </row>
    <row r="47" spans="1:9" x14ac:dyDescent="0.4">
      <c r="A47">
        <v>202110</v>
      </c>
      <c r="B47">
        <v>17100</v>
      </c>
      <c r="C47">
        <v>3.1</v>
      </c>
      <c r="D47">
        <v>27906</v>
      </c>
      <c r="E47">
        <v>15588</v>
      </c>
      <c r="F47">
        <v>17100</v>
      </c>
      <c r="G47">
        <v>388</v>
      </c>
      <c r="H47">
        <v>582</v>
      </c>
      <c r="I47">
        <v>1992</v>
      </c>
    </row>
    <row r="48" spans="1:9" x14ac:dyDescent="0.4">
      <c r="A48">
        <v>202110</v>
      </c>
      <c r="B48">
        <v>17150</v>
      </c>
      <c r="C48">
        <v>2</v>
      </c>
      <c r="D48">
        <v>7936</v>
      </c>
      <c r="E48">
        <v>1096</v>
      </c>
      <c r="F48">
        <v>17150</v>
      </c>
      <c r="H48">
        <v>0</v>
      </c>
      <c r="I48">
        <v>0</v>
      </c>
    </row>
    <row r="49" spans="1:9" x14ac:dyDescent="0.4">
      <c r="A49">
        <v>202110</v>
      </c>
      <c r="B49">
        <v>17200</v>
      </c>
      <c r="C49">
        <v>1.6</v>
      </c>
      <c r="D49">
        <v>8470</v>
      </c>
      <c r="E49">
        <v>13474</v>
      </c>
      <c r="F49">
        <v>17200</v>
      </c>
      <c r="G49">
        <v>485</v>
      </c>
      <c r="H49">
        <v>143</v>
      </c>
      <c r="I49">
        <v>3553</v>
      </c>
    </row>
    <row r="50" spans="1:9" x14ac:dyDescent="0.4">
      <c r="A50">
        <v>202110</v>
      </c>
      <c r="B50">
        <v>17250</v>
      </c>
      <c r="C50">
        <v>1.3</v>
      </c>
      <c r="D50">
        <v>2193</v>
      </c>
      <c r="E50">
        <v>782</v>
      </c>
      <c r="F50">
        <v>17250</v>
      </c>
      <c r="H50">
        <v>0</v>
      </c>
      <c r="I50">
        <v>0</v>
      </c>
    </row>
    <row r="51" spans="1:9" x14ac:dyDescent="0.4">
      <c r="A51">
        <v>202110</v>
      </c>
      <c r="B51">
        <v>17300</v>
      </c>
      <c r="C51">
        <v>0.9</v>
      </c>
      <c r="D51">
        <v>4601</v>
      </c>
      <c r="E51">
        <v>8732</v>
      </c>
      <c r="F51">
        <v>17300</v>
      </c>
      <c r="G51">
        <v>585</v>
      </c>
      <c r="H51">
        <v>27</v>
      </c>
      <c r="I51">
        <v>2504</v>
      </c>
    </row>
    <row r="52" spans="1:9" x14ac:dyDescent="0.4">
      <c r="A52">
        <v>202110</v>
      </c>
      <c r="B52">
        <v>17400</v>
      </c>
      <c r="C52">
        <v>0.8</v>
      </c>
      <c r="D52">
        <v>1421</v>
      </c>
      <c r="E52">
        <v>7432</v>
      </c>
      <c r="F52">
        <v>17400</v>
      </c>
      <c r="H52">
        <v>0</v>
      </c>
      <c r="I52">
        <v>1332</v>
      </c>
    </row>
    <row r="53" spans="1:9" x14ac:dyDescent="0.4">
      <c r="A53">
        <v>202110</v>
      </c>
      <c r="B53">
        <v>17500</v>
      </c>
      <c r="C53">
        <v>0.5</v>
      </c>
      <c r="D53">
        <v>603</v>
      </c>
      <c r="E53">
        <v>8256</v>
      </c>
      <c r="F53">
        <v>17500</v>
      </c>
      <c r="H53">
        <v>4</v>
      </c>
      <c r="I53">
        <v>299</v>
      </c>
    </row>
    <row r="54" spans="1:9" x14ac:dyDescent="0.4">
      <c r="A54">
        <v>202110</v>
      </c>
      <c r="B54">
        <v>17600</v>
      </c>
      <c r="C54">
        <v>0.4</v>
      </c>
      <c r="D54">
        <v>745</v>
      </c>
      <c r="E54">
        <v>5917</v>
      </c>
      <c r="F54">
        <v>17600</v>
      </c>
      <c r="G54">
        <v>810</v>
      </c>
      <c r="H54">
        <v>25</v>
      </c>
      <c r="I54">
        <v>250</v>
      </c>
    </row>
    <row r="55" spans="1:9" x14ac:dyDescent="0.4">
      <c r="A55">
        <v>202110</v>
      </c>
      <c r="B55">
        <v>17700</v>
      </c>
      <c r="C55">
        <v>0.4</v>
      </c>
      <c r="D55">
        <v>482</v>
      </c>
      <c r="E55">
        <v>4746</v>
      </c>
      <c r="F55">
        <v>17700</v>
      </c>
      <c r="H55">
        <v>2</v>
      </c>
      <c r="I55">
        <v>137</v>
      </c>
    </row>
    <row r="56" spans="1:9" x14ac:dyDescent="0.4">
      <c r="A56">
        <v>202110</v>
      </c>
      <c r="B56">
        <v>17800</v>
      </c>
      <c r="C56">
        <v>0.3</v>
      </c>
      <c r="D56">
        <v>109</v>
      </c>
      <c r="E56">
        <v>6618</v>
      </c>
      <c r="F56">
        <v>17800</v>
      </c>
      <c r="H56">
        <v>0</v>
      </c>
      <c r="I56">
        <v>54</v>
      </c>
    </row>
    <row r="57" spans="1:9" x14ac:dyDescent="0.4">
      <c r="A57">
        <v>202110</v>
      </c>
      <c r="B57">
        <v>17900</v>
      </c>
      <c r="C57">
        <v>0.2</v>
      </c>
      <c r="D57">
        <v>175</v>
      </c>
      <c r="E57">
        <v>5223</v>
      </c>
      <c r="F57">
        <v>17900</v>
      </c>
      <c r="G57">
        <v>1110</v>
      </c>
      <c r="H57">
        <v>1</v>
      </c>
      <c r="I57">
        <v>59</v>
      </c>
    </row>
    <row r="58" spans="1:9" x14ac:dyDescent="0.4">
      <c r="A58">
        <v>202110</v>
      </c>
      <c r="B58">
        <v>18000</v>
      </c>
      <c r="C58">
        <v>0.2</v>
      </c>
      <c r="D58">
        <v>461</v>
      </c>
      <c r="E58">
        <v>7099</v>
      </c>
      <c r="F58">
        <v>18000</v>
      </c>
      <c r="H58">
        <v>0</v>
      </c>
      <c r="I58">
        <v>21</v>
      </c>
    </row>
    <row r="59" spans="1:9" x14ac:dyDescent="0.4">
      <c r="A59">
        <v>202110</v>
      </c>
      <c r="B59">
        <v>18100</v>
      </c>
      <c r="C59">
        <v>0.2</v>
      </c>
      <c r="D59">
        <v>11</v>
      </c>
      <c r="E59">
        <v>5984</v>
      </c>
      <c r="F59">
        <v>18100</v>
      </c>
      <c r="H59">
        <v>6</v>
      </c>
      <c r="I59">
        <v>13</v>
      </c>
    </row>
    <row r="60" spans="1:9" x14ac:dyDescent="0.4">
      <c r="A60">
        <v>202110</v>
      </c>
      <c r="B60">
        <v>18200</v>
      </c>
      <c r="C60">
        <v>0.2</v>
      </c>
      <c r="D60">
        <v>4</v>
      </c>
      <c r="E60">
        <v>6556</v>
      </c>
      <c r="F60">
        <v>18200</v>
      </c>
      <c r="H60">
        <v>0</v>
      </c>
      <c r="I60">
        <v>0</v>
      </c>
    </row>
    <row r="61" spans="1:9" x14ac:dyDescent="0.4">
      <c r="A61">
        <v>202110</v>
      </c>
      <c r="B61">
        <v>18300</v>
      </c>
      <c r="D61">
        <v>0</v>
      </c>
      <c r="E61">
        <v>3866</v>
      </c>
      <c r="F61">
        <v>18300</v>
      </c>
      <c r="H61">
        <v>0</v>
      </c>
      <c r="I61">
        <v>1</v>
      </c>
    </row>
    <row r="62" spans="1:9" x14ac:dyDescent="0.4">
      <c r="A62">
        <v>202110</v>
      </c>
      <c r="B62">
        <v>18400</v>
      </c>
      <c r="D62">
        <v>2</v>
      </c>
      <c r="E62">
        <v>2296</v>
      </c>
      <c r="F62">
        <v>18400</v>
      </c>
      <c r="H62">
        <v>11</v>
      </c>
      <c r="I62">
        <v>51</v>
      </c>
    </row>
    <row r="63" spans="1:9" x14ac:dyDescent="0.4">
      <c r="A63">
        <v>202110</v>
      </c>
      <c r="B63">
        <v>18500</v>
      </c>
      <c r="C63">
        <v>0.1</v>
      </c>
      <c r="D63">
        <v>6</v>
      </c>
      <c r="E63">
        <v>2924</v>
      </c>
      <c r="F63">
        <v>18500</v>
      </c>
      <c r="H63">
        <v>0</v>
      </c>
      <c r="I63">
        <v>0</v>
      </c>
    </row>
    <row r="64" spans="1:9" x14ac:dyDescent="0.4">
      <c r="A64">
        <v>202110</v>
      </c>
      <c r="B64">
        <v>18600</v>
      </c>
      <c r="D64">
        <v>0</v>
      </c>
      <c r="E64">
        <v>2808</v>
      </c>
      <c r="F64">
        <v>18600</v>
      </c>
      <c r="H64">
        <v>0</v>
      </c>
      <c r="I64">
        <v>0</v>
      </c>
    </row>
    <row r="65" spans="1:9" x14ac:dyDescent="0.4">
      <c r="A65">
        <v>202110</v>
      </c>
      <c r="B65">
        <v>18700</v>
      </c>
      <c r="C65">
        <v>0.1</v>
      </c>
      <c r="D65">
        <v>16</v>
      </c>
      <c r="E65">
        <v>1024</v>
      </c>
      <c r="F65">
        <v>18700</v>
      </c>
      <c r="H65">
        <v>0</v>
      </c>
      <c r="I65">
        <v>0</v>
      </c>
    </row>
    <row r="66" spans="1:9" x14ac:dyDescent="0.4">
      <c r="A66">
        <v>202110</v>
      </c>
      <c r="B66">
        <v>18800</v>
      </c>
      <c r="D66">
        <v>0</v>
      </c>
      <c r="E66">
        <v>711</v>
      </c>
      <c r="F66">
        <v>18800</v>
      </c>
      <c r="H66">
        <v>0</v>
      </c>
      <c r="I66">
        <v>0</v>
      </c>
    </row>
    <row r="67" spans="1:9" x14ac:dyDescent="0.4">
      <c r="A67">
        <v>202110</v>
      </c>
      <c r="B67">
        <v>18900</v>
      </c>
      <c r="D67">
        <v>40</v>
      </c>
      <c r="E67">
        <v>824</v>
      </c>
      <c r="F67">
        <v>18900</v>
      </c>
      <c r="H67">
        <v>0</v>
      </c>
      <c r="I67">
        <v>0</v>
      </c>
    </row>
    <row r="68" spans="1:9" x14ac:dyDescent="0.4">
      <c r="A68">
        <v>202110</v>
      </c>
      <c r="B68">
        <v>19000</v>
      </c>
      <c r="C68">
        <v>0.1</v>
      </c>
      <c r="D68">
        <v>3</v>
      </c>
      <c r="E68">
        <v>1098</v>
      </c>
      <c r="F68">
        <v>19000</v>
      </c>
      <c r="H68">
        <v>0</v>
      </c>
      <c r="I68">
        <v>0</v>
      </c>
    </row>
    <row r="69" spans="1:9" x14ac:dyDescent="0.4">
      <c r="A69">
        <v>202110</v>
      </c>
      <c r="B69">
        <v>19100</v>
      </c>
      <c r="D69">
        <v>0</v>
      </c>
      <c r="E69">
        <v>168</v>
      </c>
      <c r="F69">
        <v>19100</v>
      </c>
      <c r="H69">
        <v>0</v>
      </c>
      <c r="I69">
        <v>0</v>
      </c>
    </row>
    <row r="70" spans="1:9" x14ac:dyDescent="0.4">
      <c r="A70">
        <v>202110</v>
      </c>
      <c r="B70">
        <v>19200</v>
      </c>
      <c r="D70">
        <v>0</v>
      </c>
      <c r="E70">
        <v>249</v>
      </c>
      <c r="F70">
        <v>19200</v>
      </c>
      <c r="H70">
        <v>0</v>
      </c>
      <c r="I70">
        <v>0</v>
      </c>
    </row>
    <row r="71" spans="1:9" x14ac:dyDescent="0.4">
      <c r="A71">
        <v>202110</v>
      </c>
      <c r="B71">
        <v>19300</v>
      </c>
      <c r="D71">
        <v>0</v>
      </c>
      <c r="E71">
        <v>136</v>
      </c>
      <c r="F71">
        <v>19300</v>
      </c>
      <c r="H71">
        <v>0</v>
      </c>
      <c r="I71">
        <v>0</v>
      </c>
    </row>
    <row r="72" spans="1:9" x14ac:dyDescent="0.4">
      <c r="A72">
        <v>202110</v>
      </c>
      <c r="B72">
        <v>19400</v>
      </c>
      <c r="D72">
        <v>0</v>
      </c>
      <c r="E72">
        <v>219</v>
      </c>
      <c r="F72">
        <v>19400</v>
      </c>
      <c r="H72">
        <v>0</v>
      </c>
      <c r="I72">
        <v>0</v>
      </c>
    </row>
    <row r="73" spans="1:9" x14ac:dyDescent="0.4">
      <c r="A73">
        <v>202110</v>
      </c>
      <c r="B73">
        <v>19500</v>
      </c>
      <c r="D73">
        <v>0</v>
      </c>
      <c r="E73">
        <v>122</v>
      </c>
      <c r="F73">
        <v>19500</v>
      </c>
      <c r="H73">
        <v>0</v>
      </c>
      <c r="I73">
        <v>0</v>
      </c>
    </row>
    <row r="74" spans="1:9" x14ac:dyDescent="0.4">
      <c r="A74">
        <v>202110</v>
      </c>
      <c r="B74">
        <v>19600</v>
      </c>
      <c r="D74">
        <v>0</v>
      </c>
      <c r="E74">
        <v>39</v>
      </c>
      <c r="F74">
        <v>19600</v>
      </c>
      <c r="H74">
        <v>0</v>
      </c>
      <c r="I74">
        <v>0</v>
      </c>
    </row>
    <row r="75" spans="1:9" x14ac:dyDescent="0.4">
      <c r="A75">
        <v>202110</v>
      </c>
      <c r="B75">
        <v>19700</v>
      </c>
      <c r="D75">
        <v>0</v>
      </c>
      <c r="E75">
        <v>72</v>
      </c>
      <c r="F75">
        <v>19700</v>
      </c>
      <c r="H75">
        <v>0</v>
      </c>
      <c r="I75">
        <v>0</v>
      </c>
    </row>
    <row r="76" spans="1:9" x14ac:dyDescent="0.4">
      <c r="A76">
        <v>202110</v>
      </c>
      <c r="B76">
        <v>19800</v>
      </c>
      <c r="D76">
        <v>0</v>
      </c>
      <c r="E76">
        <v>82</v>
      </c>
      <c r="F76">
        <v>19800</v>
      </c>
      <c r="H76">
        <v>0</v>
      </c>
      <c r="I76">
        <v>0</v>
      </c>
    </row>
    <row r="77" spans="1:9" x14ac:dyDescent="0.4">
      <c r="A77">
        <v>202110</v>
      </c>
      <c r="B77">
        <v>19900</v>
      </c>
      <c r="D77">
        <v>0</v>
      </c>
      <c r="E77">
        <v>64</v>
      </c>
      <c r="F77">
        <v>19900</v>
      </c>
      <c r="H77">
        <v>0</v>
      </c>
      <c r="I77">
        <v>0</v>
      </c>
    </row>
    <row r="78" spans="1:9" x14ac:dyDescent="0.4">
      <c r="A78">
        <v>202110</v>
      </c>
      <c r="B78">
        <v>20000</v>
      </c>
      <c r="D78">
        <v>0</v>
      </c>
      <c r="E78">
        <v>405</v>
      </c>
      <c r="F78">
        <v>20000</v>
      </c>
      <c r="H78">
        <v>0</v>
      </c>
      <c r="I78">
        <v>0</v>
      </c>
    </row>
    <row r="79" spans="1:9" x14ac:dyDescent="0.4">
      <c r="A79">
        <v>202110</v>
      </c>
      <c r="B79">
        <v>20100</v>
      </c>
      <c r="D79">
        <v>0</v>
      </c>
      <c r="E79">
        <v>619</v>
      </c>
      <c r="F79">
        <v>20100</v>
      </c>
      <c r="H79">
        <v>0</v>
      </c>
      <c r="I79">
        <v>0</v>
      </c>
    </row>
    <row r="80" spans="1:9" x14ac:dyDescent="0.4">
      <c r="A80">
        <v>202110</v>
      </c>
      <c r="B80">
        <v>20200</v>
      </c>
      <c r="D80">
        <v>22</v>
      </c>
      <c r="E80">
        <v>1674</v>
      </c>
      <c r="F80">
        <v>20200</v>
      </c>
      <c r="H80">
        <v>0</v>
      </c>
      <c r="I80">
        <v>0</v>
      </c>
    </row>
    <row r="81" spans="1:9" x14ac:dyDescent="0.4">
      <c r="A81">
        <v>202110</v>
      </c>
      <c r="B81">
        <v>20300</v>
      </c>
      <c r="C81">
        <v>0.1</v>
      </c>
      <c r="D81">
        <v>713</v>
      </c>
      <c r="E81">
        <v>4081</v>
      </c>
      <c r="F81">
        <v>20300</v>
      </c>
      <c r="H81">
        <v>0</v>
      </c>
      <c r="I8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CA159-0B98-4651-9036-E5E78B9563AA}">
  <sheetPr codeName="工作表1"/>
  <dimension ref="A1:O61"/>
  <sheetViews>
    <sheetView workbookViewId="0">
      <selection activeCell="B6" sqref="B6"/>
    </sheetView>
  </sheetViews>
  <sheetFormatPr defaultRowHeight="17" x14ac:dyDescent="0.4"/>
  <cols>
    <col min="2" max="2" width="22.6328125" bestFit="1" customWidth="1"/>
    <col min="3" max="3" width="12.36328125" bestFit="1" customWidth="1"/>
    <col min="5" max="5" width="11.453125" bestFit="1" customWidth="1"/>
    <col min="7" max="7" width="11.1796875" bestFit="1" customWidth="1"/>
    <col min="9" max="9" width="11.453125" bestFit="1" customWidth="1"/>
    <col min="11" max="11" width="11.453125" bestFit="1" customWidth="1"/>
    <col min="13" max="13" width="12.26953125" bestFit="1" customWidth="1"/>
    <col min="15" max="15" width="11.1796875" bestFit="1" customWidth="1"/>
  </cols>
  <sheetData>
    <row r="1" spans="1:15" x14ac:dyDescent="0.4">
      <c r="B1" t="s">
        <v>30</v>
      </c>
      <c r="C1" t="s">
        <v>31</v>
      </c>
    </row>
    <row r="2" spans="1:15" x14ac:dyDescent="0.4">
      <c r="A2" t="s">
        <v>148</v>
      </c>
      <c r="B2" t="s">
        <v>149</v>
      </c>
      <c r="C2" t="s">
        <v>150</v>
      </c>
      <c r="D2" t="s">
        <v>148</v>
      </c>
      <c r="E2" t="s">
        <v>149</v>
      </c>
      <c r="F2" t="s">
        <v>150</v>
      </c>
    </row>
    <row r="3" spans="1:15" x14ac:dyDescent="0.4">
      <c r="A3" s="26" t="s">
        <v>232</v>
      </c>
      <c r="B3" s="26" t="s">
        <v>233</v>
      </c>
      <c r="C3" t="s">
        <v>35</v>
      </c>
      <c r="D3" t="s">
        <v>36</v>
      </c>
      <c r="E3" s="26" t="s">
        <v>234</v>
      </c>
      <c r="F3" t="s">
        <v>36</v>
      </c>
      <c r="G3" s="26" t="s">
        <v>234</v>
      </c>
      <c r="H3" t="s">
        <v>36</v>
      </c>
      <c r="I3" s="26" t="s">
        <v>234</v>
      </c>
      <c r="J3" t="s">
        <v>36</v>
      </c>
      <c r="K3" s="26" t="s">
        <v>234</v>
      </c>
      <c r="L3" t="s">
        <v>36</v>
      </c>
      <c r="M3" s="26" t="s">
        <v>234</v>
      </c>
      <c r="N3" t="s">
        <v>36</v>
      </c>
      <c r="O3" s="26" t="s">
        <v>234</v>
      </c>
    </row>
    <row r="4" spans="1:15" x14ac:dyDescent="0.4">
      <c r="A4">
        <v>1</v>
      </c>
      <c r="B4" t="s">
        <v>151</v>
      </c>
      <c r="C4" t="s">
        <v>39</v>
      </c>
      <c r="D4" s="27">
        <v>11164</v>
      </c>
      <c r="E4" s="27">
        <v>36681349</v>
      </c>
      <c r="F4" s="27">
        <v>11566</v>
      </c>
      <c r="G4" s="27">
        <v>38010445</v>
      </c>
      <c r="H4">
        <v>-402</v>
      </c>
      <c r="I4" s="27">
        <v>-1329095</v>
      </c>
      <c r="J4" s="27">
        <v>21171</v>
      </c>
      <c r="K4" s="27">
        <v>68983653</v>
      </c>
      <c r="L4" s="27">
        <v>8356</v>
      </c>
      <c r="M4" s="27">
        <v>27221929</v>
      </c>
      <c r="N4" s="27">
        <v>12815</v>
      </c>
      <c r="O4" s="27">
        <v>41761724</v>
      </c>
    </row>
    <row r="5" spans="1:15" x14ac:dyDescent="0.4">
      <c r="A5" t="s">
        <v>40</v>
      </c>
      <c r="B5">
        <v>161</v>
      </c>
      <c r="C5" s="27">
        <v>525848</v>
      </c>
      <c r="D5">
        <v>282</v>
      </c>
      <c r="E5" s="27">
        <v>921149</v>
      </c>
      <c r="F5">
        <v>-121</v>
      </c>
      <c r="G5" s="27">
        <v>-395301</v>
      </c>
      <c r="H5" s="27">
        <v>12747</v>
      </c>
      <c r="I5" s="27">
        <v>41608757</v>
      </c>
      <c r="J5" s="27">
        <v>18099</v>
      </c>
      <c r="K5" s="27">
        <v>59078652</v>
      </c>
      <c r="L5" s="27">
        <v>-5352</v>
      </c>
      <c r="M5" s="27">
        <v>-17469895</v>
      </c>
    </row>
    <row r="6" spans="1:15" x14ac:dyDescent="0.4">
      <c r="A6" t="s">
        <v>41</v>
      </c>
      <c r="B6" s="27">
        <v>62316</v>
      </c>
      <c r="C6" s="27">
        <v>204916517</v>
      </c>
      <c r="D6" s="27">
        <v>65130</v>
      </c>
      <c r="E6" s="27">
        <v>214215772</v>
      </c>
      <c r="F6" s="27">
        <v>-2814</v>
      </c>
      <c r="G6" s="27">
        <v>-9299255</v>
      </c>
      <c r="H6" s="27">
        <v>20524</v>
      </c>
      <c r="I6" s="27">
        <v>66964600</v>
      </c>
      <c r="J6" s="27">
        <v>38960</v>
      </c>
      <c r="K6" s="27">
        <v>127062733</v>
      </c>
      <c r="L6" s="27">
        <v>-18436</v>
      </c>
      <c r="M6" s="27">
        <v>-60098133</v>
      </c>
    </row>
    <row r="7" spans="1:15" x14ac:dyDescent="0.4">
      <c r="A7">
        <v>2</v>
      </c>
      <c r="B7" t="s">
        <v>152</v>
      </c>
      <c r="C7" t="s">
        <v>39</v>
      </c>
      <c r="D7">
        <v>238</v>
      </c>
      <c r="E7" s="27">
        <v>737009</v>
      </c>
      <c r="F7">
        <v>268</v>
      </c>
      <c r="G7" s="27">
        <v>829640</v>
      </c>
      <c r="H7">
        <v>-30</v>
      </c>
      <c r="I7" s="27">
        <v>-92631</v>
      </c>
      <c r="J7">
        <v>237</v>
      </c>
      <c r="K7" s="27">
        <v>727708</v>
      </c>
      <c r="L7">
        <v>390</v>
      </c>
      <c r="M7" s="27">
        <v>1197510</v>
      </c>
      <c r="N7">
        <v>-153</v>
      </c>
      <c r="O7" s="27">
        <v>-469802</v>
      </c>
    </row>
    <row r="8" spans="1:15" x14ac:dyDescent="0.4">
      <c r="A8" t="s">
        <v>40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167</v>
      </c>
      <c r="I8" s="27">
        <v>512790</v>
      </c>
      <c r="J8">
        <v>0</v>
      </c>
      <c r="K8">
        <v>0</v>
      </c>
      <c r="L8">
        <v>167</v>
      </c>
      <c r="M8" s="27">
        <v>512790</v>
      </c>
    </row>
    <row r="9" spans="1:15" x14ac:dyDescent="0.4">
      <c r="A9" t="s">
        <v>41</v>
      </c>
      <c r="B9">
        <v>996</v>
      </c>
      <c r="C9" s="27">
        <v>3083500</v>
      </c>
      <c r="D9">
        <v>969</v>
      </c>
      <c r="E9" s="27">
        <v>2998910</v>
      </c>
      <c r="F9">
        <v>27</v>
      </c>
      <c r="G9" s="27">
        <v>84590</v>
      </c>
      <c r="H9">
        <v>913</v>
      </c>
      <c r="I9" s="27">
        <v>2803458</v>
      </c>
      <c r="J9">
        <v>540</v>
      </c>
      <c r="K9" s="27">
        <v>1658124</v>
      </c>
      <c r="L9">
        <v>373</v>
      </c>
      <c r="M9" s="27">
        <v>1145334</v>
      </c>
    </row>
    <row r="10" spans="1:15" x14ac:dyDescent="0.4">
      <c r="A10">
        <v>3</v>
      </c>
      <c r="B10" t="s">
        <v>153</v>
      </c>
      <c r="C10" t="s">
        <v>39</v>
      </c>
      <c r="D10">
        <v>102</v>
      </c>
      <c r="E10" s="27">
        <v>160837</v>
      </c>
      <c r="F10">
        <v>94</v>
      </c>
      <c r="G10" s="27">
        <v>148167</v>
      </c>
      <c r="H10">
        <v>8</v>
      </c>
      <c r="I10" s="27">
        <v>12670</v>
      </c>
      <c r="J10">
        <v>502</v>
      </c>
      <c r="K10" s="27">
        <v>788933</v>
      </c>
      <c r="L10">
        <v>240</v>
      </c>
      <c r="M10" s="27">
        <v>377135</v>
      </c>
      <c r="N10">
        <v>262</v>
      </c>
      <c r="O10" s="27">
        <v>411798</v>
      </c>
    </row>
    <row r="11" spans="1:15" x14ac:dyDescent="0.4">
      <c r="A11" t="s">
        <v>40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24</v>
      </c>
      <c r="I11" s="27">
        <v>37718</v>
      </c>
      <c r="J11">
        <v>0</v>
      </c>
      <c r="K11">
        <v>0</v>
      </c>
      <c r="L11">
        <v>24</v>
      </c>
      <c r="M11" s="27">
        <v>37718</v>
      </c>
    </row>
    <row r="12" spans="1:15" x14ac:dyDescent="0.4">
      <c r="A12" t="s">
        <v>41</v>
      </c>
      <c r="B12">
        <v>350</v>
      </c>
      <c r="C12" s="27">
        <v>552114</v>
      </c>
      <c r="D12">
        <v>384</v>
      </c>
      <c r="E12" s="27">
        <v>605600</v>
      </c>
      <c r="F12">
        <v>-34</v>
      </c>
      <c r="G12" s="27">
        <v>-53485</v>
      </c>
      <c r="H12">
        <v>535</v>
      </c>
      <c r="I12" s="27">
        <v>840806</v>
      </c>
      <c r="J12" s="27">
        <v>2209</v>
      </c>
      <c r="K12" s="27">
        <v>3471664</v>
      </c>
      <c r="L12" s="27">
        <v>-1674</v>
      </c>
      <c r="M12" s="27">
        <v>-2630858</v>
      </c>
    </row>
    <row r="13" spans="1:15" x14ac:dyDescent="0.4">
      <c r="A13">
        <v>4</v>
      </c>
      <c r="B13" t="s">
        <v>154</v>
      </c>
      <c r="C13" t="s">
        <v>39</v>
      </c>
      <c r="D13" s="27">
        <v>15709</v>
      </c>
      <c r="E13" s="27">
        <v>12914587</v>
      </c>
      <c r="F13" s="27">
        <v>16426</v>
      </c>
      <c r="G13" s="27">
        <v>13495860</v>
      </c>
      <c r="H13">
        <v>-717</v>
      </c>
      <c r="I13" s="27">
        <v>-581273</v>
      </c>
      <c r="J13" s="27">
        <v>13992</v>
      </c>
      <c r="K13" s="27">
        <v>11399209</v>
      </c>
      <c r="L13" s="27">
        <v>13452</v>
      </c>
      <c r="M13" s="27">
        <v>10946517</v>
      </c>
      <c r="N13" s="27">
        <v>540</v>
      </c>
      <c r="O13" s="27">
        <v>452692</v>
      </c>
    </row>
    <row r="14" spans="1:15" x14ac:dyDescent="0.4">
      <c r="A14" t="s">
        <v>40</v>
      </c>
      <c r="B14">
        <v>0</v>
      </c>
      <c r="C14">
        <v>0</v>
      </c>
      <c r="D14">
        <v>0</v>
      </c>
      <c r="E14" s="27">
        <v>0</v>
      </c>
      <c r="F14">
        <v>0</v>
      </c>
      <c r="G14" s="27">
        <v>0</v>
      </c>
      <c r="H14">
        <v>250</v>
      </c>
      <c r="I14" s="27">
        <v>204013</v>
      </c>
      <c r="J14">
        <v>0</v>
      </c>
      <c r="K14">
        <v>0</v>
      </c>
      <c r="L14">
        <v>250</v>
      </c>
      <c r="M14" s="27">
        <v>204013</v>
      </c>
    </row>
    <row r="15" spans="1:15" x14ac:dyDescent="0.4">
      <c r="A15" t="s">
        <v>41</v>
      </c>
      <c r="B15" s="27">
        <v>107734</v>
      </c>
      <c r="C15" s="27">
        <v>88606128</v>
      </c>
      <c r="D15" s="27">
        <v>111195</v>
      </c>
      <c r="E15" s="27">
        <v>91445196</v>
      </c>
      <c r="F15" s="27">
        <v>-3461</v>
      </c>
      <c r="G15" s="27">
        <v>-2839068</v>
      </c>
      <c r="H15" s="27">
        <v>1166</v>
      </c>
      <c r="I15" s="27">
        <v>951399</v>
      </c>
      <c r="J15" s="27">
        <v>16369</v>
      </c>
      <c r="K15" s="27">
        <v>13355675</v>
      </c>
      <c r="L15" s="27">
        <v>-15203</v>
      </c>
      <c r="M15" s="27">
        <v>-12404276</v>
      </c>
    </row>
    <row r="16" spans="1:15" x14ac:dyDescent="0.4">
      <c r="A16">
        <v>5</v>
      </c>
      <c r="B16" t="s">
        <v>155</v>
      </c>
      <c r="C16" t="s">
        <v>39</v>
      </c>
      <c r="D16" s="27">
        <v>1031</v>
      </c>
      <c r="E16" s="27">
        <v>400061</v>
      </c>
      <c r="F16" s="27">
        <v>1003</v>
      </c>
      <c r="G16" s="27">
        <v>389082</v>
      </c>
      <c r="H16">
        <v>28</v>
      </c>
      <c r="I16" s="27">
        <v>10979</v>
      </c>
      <c r="J16">
        <v>315</v>
      </c>
      <c r="K16" s="27">
        <v>120905</v>
      </c>
      <c r="L16">
        <v>245</v>
      </c>
      <c r="M16" s="27">
        <v>94021</v>
      </c>
      <c r="N16">
        <v>70</v>
      </c>
      <c r="O16" s="27">
        <v>26884</v>
      </c>
    </row>
    <row r="17" spans="1:15" x14ac:dyDescent="0.4">
      <c r="A17" t="s">
        <v>40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5" x14ac:dyDescent="0.4">
      <c r="A18" t="s">
        <v>41</v>
      </c>
      <c r="B18" s="27">
        <v>1218</v>
      </c>
      <c r="C18" s="27">
        <v>471147</v>
      </c>
      <c r="D18" s="27">
        <v>1338</v>
      </c>
      <c r="E18" s="27">
        <v>517213</v>
      </c>
      <c r="F18">
        <v>-120</v>
      </c>
      <c r="G18" s="27">
        <v>-46066</v>
      </c>
      <c r="H18">
        <v>192</v>
      </c>
      <c r="I18" s="27">
        <v>73694</v>
      </c>
      <c r="J18">
        <v>168</v>
      </c>
      <c r="K18" s="27">
        <v>64483</v>
      </c>
      <c r="L18">
        <v>24</v>
      </c>
      <c r="M18" s="27">
        <v>9211</v>
      </c>
    </row>
    <row r="19" spans="1:15" x14ac:dyDescent="0.4">
      <c r="A19">
        <v>6</v>
      </c>
      <c r="B19" t="s">
        <v>156</v>
      </c>
      <c r="C19" t="s">
        <v>39</v>
      </c>
      <c r="D19">
        <v>4</v>
      </c>
      <c r="E19" s="27">
        <v>5194</v>
      </c>
      <c r="F19">
        <v>0</v>
      </c>
      <c r="G19" s="27">
        <v>0</v>
      </c>
      <c r="H19">
        <v>4</v>
      </c>
      <c r="I19" s="27">
        <v>5194</v>
      </c>
      <c r="J19">
        <v>31</v>
      </c>
      <c r="K19" s="27">
        <v>40101</v>
      </c>
      <c r="L19">
        <v>65</v>
      </c>
      <c r="M19" s="27">
        <v>84078</v>
      </c>
      <c r="N19">
        <v>-34</v>
      </c>
      <c r="O19" s="27">
        <v>-43977</v>
      </c>
    </row>
    <row r="20" spans="1:15" x14ac:dyDescent="0.4">
      <c r="A20" t="s">
        <v>40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5" x14ac:dyDescent="0.4">
      <c r="A21" t="s">
        <v>41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5" x14ac:dyDescent="0.4">
      <c r="A22">
        <v>7</v>
      </c>
      <c r="B22" t="s">
        <v>157</v>
      </c>
      <c r="C22" t="s">
        <v>39</v>
      </c>
      <c r="D22" s="27">
        <v>13192</v>
      </c>
      <c r="E22" s="27">
        <v>2348675</v>
      </c>
      <c r="F22" s="27">
        <v>11072</v>
      </c>
      <c r="G22" s="27">
        <v>2159802</v>
      </c>
      <c r="H22" s="27">
        <v>2120</v>
      </c>
      <c r="I22" s="27">
        <v>188873</v>
      </c>
      <c r="J22" s="27">
        <v>79388</v>
      </c>
      <c r="K22" s="27">
        <v>17029936</v>
      </c>
      <c r="L22" s="27">
        <v>58196</v>
      </c>
      <c r="M22" s="27">
        <v>8172254</v>
      </c>
      <c r="N22" s="27">
        <v>21192</v>
      </c>
      <c r="O22" s="27">
        <v>8857682</v>
      </c>
    </row>
    <row r="23" spans="1:15" x14ac:dyDescent="0.4">
      <c r="A23" t="s">
        <v>40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5" x14ac:dyDescent="0.4">
      <c r="A24" t="s">
        <v>41</v>
      </c>
      <c r="B24" s="27">
        <v>146188</v>
      </c>
      <c r="C24" s="27">
        <v>31299246</v>
      </c>
      <c r="D24" s="27">
        <v>139819</v>
      </c>
      <c r="E24" s="27">
        <v>30803024</v>
      </c>
      <c r="F24" s="27">
        <v>6369</v>
      </c>
      <c r="G24" s="27">
        <v>496222</v>
      </c>
      <c r="H24" s="27">
        <v>80690</v>
      </c>
      <c r="I24" s="27">
        <v>27220169</v>
      </c>
      <c r="J24" s="27">
        <v>300821</v>
      </c>
      <c r="K24" s="27">
        <v>78029592</v>
      </c>
      <c r="L24" s="27">
        <v>-220131</v>
      </c>
      <c r="M24" s="27">
        <v>-50809423</v>
      </c>
    </row>
    <row r="25" spans="1:15" x14ac:dyDescent="0.4">
      <c r="A25">
        <v>8</v>
      </c>
      <c r="B25" t="s">
        <v>158</v>
      </c>
      <c r="C25" t="s">
        <v>39</v>
      </c>
      <c r="D25">
        <v>395</v>
      </c>
      <c r="E25" s="27">
        <v>385822</v>
      </c>
      <c r="F25">
        <v>390</v>
      </c>
      <c r="G25" s="27">
        <v>305225</v>
      </c>
      <c r="H25">
        <v>5</v>
      </c>
      <c r="I25" s="27">
        <v>80597</v>
      </c>
      <c r="J25" s="27">
        <v>2366</v>
      </c>
      <c r="K25" s="27">
        <v>2111504</v>
      </c>
      <c r="L25" s="27">
        <v>3049</v>
      </c>
      <c r="M25" s="27">
        <v>1591982</v>
      </c>
      <c r="N25">
        <v>-683</v>
      </c>
      <c r="O25" s="27">
        <v>519522</v>
      </c>
    </row>
    <row r="26" spans="1:15" x14ac:dyDescent="0.4">
      <c r="A26" t="s">
        <v>40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27">
        <v>4972</v>
      </c>
      <c r="I26" s="27">
        <v>4865643</v>
      </c>
      <c r="J26" s="27">
        <v>3792</v>
      </c>
      <c r="K26" s="27">
        <v>4825570</v>
      </c>
      <c r="L26" s="27">
        <v>1180</v>
      </c>
      <c r="M26" s="27">
        <v>40073</v>
      </c>
    </row>
    <row r="27" spans="1:15" x14ac:dyDescent="0.4">
      <c r="A27" t="s">
        <v>41</v>
      </c>
      <c r="B27">
        <v>890</v>
      </c>
      <c r="C27" s="27">
        <v>960117</v>
      </c>
      <c r="D27">
        <v>811</v>
      </c>
      <c r="E27" s="27">
        <v>1017613</v>
      </c>
      <c r="F27">
        <v>79</v>
      </c>
      <c r="G27" s="27">
        <v>-57495</v>
      </c>
      <c r="H27" s="27">
        <v>3216</v>
      </c>
      <c r="I27" s="27">
        <v>4157489</v>
      </c>
      <c r="J27" s="27">
        <v>4959</v>
      </c>
      <c r="K27" s="27">
        <v>5787384</v>
      </c>
      <c r="L27" s="27">
        <v>-1743</v>
      </c>
      <c r="M27" s="27">
        <v>-1629895</v>
      </c>
    </row>
    <row r="28" spans="1:15" x14ac:dyDescent="0.4">
      <c r="A28">
        <v>9</v>
      </c>
      <c r="B28" t="s">
        <v>159</v>
      </c>
      <c r="C28" t="s">
        <v>39</v>
      </c>
      <c r="D28">
        <v>39</v>
      </c>
      <c r="E28" s="27">
        <v>30762</v>
      </c>
      <c r="F28">
        <v>37</v>
      </c>
      <c r="G28" s="27">
        <v>29181</v>
      </c>
      <c r="H28">
        <v>2</v>
      </c>
      <c r="I28" s="27">
        <v>1581</v>
      </c>
      <c r="J28">
        <v>8</v>
      </c>
      <c r="K28" s="27">
        <v>6296</v>
      </c>
      <c r="L28">
        <v>80</v>
      </c>
      <c r="M28" s="27">
        <v>63036</v>
      </c>
      <c r="N28">
        <v>-72</v>
      </c>
      <c r="O28" s="27">
        <v>-56740</v>
      </c>
    </row>
    <row r="29" spans="1:15" x14ac:dyDescent="0.4">
      <c r="A29" t="s">
        <v>40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5" x14ac:dyDescent="0.4">
      <c r="A30" t="s">
        <v>41</v>
      </c>
      <c r="B30">
        <v>0</v>
      </c>
      <c r="C30">
        <v>0</v>
      </c>
      <c r="D30">
        <v>0</v>
      </c>
      <c r="E30" s="27">
        <v>0</v>
      </c>
      <c r="F30">
        <v>0</v>
      </c>
      <c r="G30" s="27">
        <v>0</v>
      </c>
      <c r="H30">
        <v>0</v>
      </c>
      <c r="I30">
        <v>0</v>
      </c>
      <c r="J30">
        <v>0</v>
      </c>
      <c r="K30" s="27">
        <v>0</v>
      </c>
      <c r="L30">
        <v>0</v>
      </c>
      <c r="M30" s="27">
        <v>0</v>
      </c>
    </row>
    <row r="31" spans="1:15" x14ac:dyDescent="0.4">
      <c r="A31">
        <v>10</v>
      </c>
      <c r="B31" t="s">
        <v>160</v>
      </c>
      <c r="C31" t="s">
        <v>39</v>
      </c>
      <c r="D31">
        <v>22</v>
      </c>
      <c r="E31" s="27">
        <v>35396</v>
      </c>
      <c r="F31">
        <v>26</v>
      </c>
      <c r="G31" s="27">
        <v>41788</v>
      </c>
      <c r="H31">
        <v>-4</v>
      </c>
      <c r="I31" s="27">
        <v>-6392</v>
      </c>
      <c r="J31">
        <v>203</v>
      </c>
      <c r="K31" s="27">
        <v>323778</v>
      </c>
      <c r="L31">
        <v>34</v>
      </c>
      <c r="M31" s="27">
        <v>54190</v>
      </c>
      <c r="N31">
        <v>169</v>
      </c>
      <c r="O31" s="27">
        <v>269588</v>
      </c>
    </row>
    <row r="32" spans="1:15" x14ac:dyDescent="0.4">
      <c r="A32" t="s">
        <v>40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2</v>
      </c>
      <c r="I32" s="27">
        <v>3190</v>
      </c>
      <c r="J32">
        <v>0</v>
      </c>
      <c r="K32">
        <v>0</v>
      </c>
      <c r="L32">
        <v>2</v>
      </c>
      <c r="M32" s="27">
        <v>3190</v>
      </c>
    </row>
    <row r="33" spans="1:15" x14ac:dyDescent="0.4">
      <c r="A33" t="s">
        <v>41</v>
      </c>
      <c r="B33">
        <v>40</v>
      </c>
      <c r="C33" s="27">
        <v>64457</v>
      </c>
      <c r="D33">
        <v>41</v>
      </c>
      <c r="E33" s="27">
        <v>66072</v>
      </c>
      <c r="F33">
        <v>-1</v>
      </c>
      <c r="G33" s="27">
        <v>-1615</v>
      </c>
      <c r="H33">
        <v>4</v>
      </c>
      <c r="I33" s="27">
        <v>6380</v>
      </c>
      <c r="J33">
        <v>211</v>
      </c>
      <c r="K33" s="27">
        <v>336545</v>
      </c>
      <c r="L33">
        <v>-207</v>
      </c>
      <c r="M33" s="27">
        <v>-330165</v>
      </c>
    </row>
    <row r="34" spans="1:15" x14ac:dyDescent="0.4">
      <c r="A34">
        <v>11</v>
      </c>
      <c r="B34" t="s">
        <v>161</v>
      </c>
      <c r="C34" t="s">
        <v>39</v>
      </c>
      <c r="D34">
        <v>40</v>
      </c>
      <c r="E34" s="27">
        <v>16795</v>
      </c>
      <c r="F34">
        <v>48</v>
      </c>
      <c r="G34" s="27">
        <v>20125</v>
      </c>
      <c r="H34">
        <v>-8</v>
      </c>
      <c r="I34" s="27">
        <v>-3330</v>
      </c>
      <c r="J34">
        <v>52</v>
      </c>
      <c r="K34" s="27">
        <v>21675</v>
      </c>
      <c r="L34">
        <v>55</v>
      </c>
      <c r="M34" s="27">
        <v>22911</v>
      </c>
      <c r="N34">
        <v>-3</v>
      </c>
      <c r="O34" s="27">
        <v>-1236</v>
      </c>
    </row>
    <row r="35" spans="1:15" x14ac:dyDescent="0.4">
      <c r="A35" t="s">
        <v>40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30</v>
      </c>
      <c r="I35" s="27">
        <v>12509</v>
      </c>
      <c r="J35">
        <v>0</v>
      </c>
      <c r="K35">
        <v>0</v>
      </c>
      <c r="L35">
        <v>30</v>
      </c>
      <c r="M35" s="27">
        <v>12509</v>
      </c>
    </row>
    <row r="36" spans="1:15" x14ac:dyDescent="0.4">
      <c r="A36" t="s">
        <v>41</v>
      </c>
      <c r="B36">
        <v>0</v>
      </c>
      <c r="C36">
        <v>0</v>
      </c>
      <c r="D36">
        <v>9</v>
      </c>
      <c r="E36" s="27">
        <v>3784</v>
      </c>
      <c r="F36">
        <v>-9</v>
      </c>
      <c r="G36" s="27">
        <v>-3784</v>
      </c>
      <c r="H36">
        <v>0</v>
      </c>
      <c r="I36">
        <v>0</v>
      </c>
      <c r="J36">
        <v>41</v>
      </c>
      <c r="K36" s="27">
        <v>17095</v>
      </c>
      <c r="L36">
        <v>-41</v>
      </c>
      <c r="M36" s="27">
        <v>-17095</v>
      </c>
    </row>
    <row r="37" spans="1:15" x14ac:dyDescent="0.4">
      <c r="A37">
        <v>12</v>
      </c>
      <c r="B37" t="s">
        <v>162</v>
      </c>
      <c r="C37" t="s">
        <v>39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38</v>
      </c>
      <c r="M37" s="27">
        <v>31497</v>
      </c>
      <c r="N37">
        <v>-38</v>
      </c>
      <c r="O37" s="27">
        <v>-31497</v>
      </c>
    </row>
    <row r="38" spans="1:15" x14ac:dyDescent="0.4">
      <c r="A38" t="s">
        <v>40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35</v>
      </c>
      <c r="I38" s="27">
        <v>29012</v>
      </c>
      <c r="J38">
        <v>0</v>
      </c>
      <c r="K38">
        <v>0</v>
      </c>
      <c r="L38">
        <v>35</v>
      </c>
      <c r="M38" s="27">
        <v>29012</v>
      </c>
    </row>
    <row r="39" spans="1:15" x14ac:dyDescent="0.4">
      <c r="A39" t="s">
        <v>41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</v>
      </c>
      <c r="I39" s="27">
        <v>1658</v>
      </c>
      <c r="J39">
        <v>0</v>
      </c>
      <c r="K39">
        <v>0</v>
      </c>
      <c r="L39">
        <v>2</v>
      </c>
      <c r="M39" s="27">
        <v>1658</v>
      </c>
    </row>
    <row r="40" spans="1:15" x14ac:dyDescent="0.4">
      <c r="A40">
        <v>13</v>
      </c>
      <c r="B40" t="s">
        <v>163</v>
      </c>
      <c r="C40" t="s">
        <v>39</v>
      </c>
      <c r="D40">
        <v>1</v>
      </c>
      <c r="E40" s="27">
        <v>199</v>
      </c>
      <c r="F40">
        <v>5</v>
      </c>
      <c r="G40" s="27">
        <v>1001</v>
      </c>
      <c r="H40">
        <v>-4</v>
      </c>
      <c r="I40">
        <v>-803</v>
      </c>
      <c r="J40">
        <v>0</v>
      </c>
      <c r="K40">
        <v>0</v>
      </c>
      <c r="L40">
        <v>26</v>
      </c>
      <c r="M40" s="27">
        <v>5188</v>
      </c>
      <c r="N40">
        <v>-26</v>
      </c>
      <c r="O40" s="27">
        <v>-5188</v>
      </c>
    </row>
    <row r="41" spans="1:15" x14ac:dyDescent="0.4">
      <c r="A41" t="s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5" x14ac:dyDescent="0.4">
      <c r="A42" t="s">
        <v>41</v>
      </c>
      <c r="B42">
        <v>0</v>
      </c>
      <c r="C42">
        <v>0</v>
      </c>
      <c r="D42">
        <v>1</v>
      </c>
      <c r="E42">
        <v>200</v>
      </c>
      <c r="F42">
        <v>-1</v>
      </c>
      <c r="G42">
        <v>-200</v>
      </c>
      <c r="H42">
        <v>0</v>
      </c>
      <c r="I42">
        <v>0</v>
      </c>
      <c r="J42">
        <v>4</v>
      </c>
      <c r="K42">
        <v>798</v>
      </c>
      <c r="L42">
        <v>-4</v>
      </c>
      <c r="M42">
        <v>-798</v>
      </c>
    </row>
    <row r="43" spans="1:15" x14ac:dyDescent="0.4">
      <c r="A43">
        <v>14</v>
      </c>
      <c r="B43" t="s">
        <v>164</v>
      </c>
      <c r="C43" t="s">
        <v>39</v>
      </c>
      <c r="D43">
        <v>49</v>
      </c>
      <c r="E43" s="27">
        <v>19385</v>
      </c>
      <c r="F43">
        <v>75</v>
      </c>
      <c r="G43" s="27">
        <v>29651</v>
      </c>
      <c r="H43">
        <v>-26</v>
      </c>
      <c r="I43" s="27">
        <v>-10267</v>
      </c>
      <c r="J43">
        <v>0</v>
      </c>
      <c r="K43" s="27">
        <v>0</v>
      </c>
      <c r="L43">
        <v>244</v>
      </c>
      <c r="M43" s="27">
        <v>96441</v>
      </c>
      <c r="N43">
        <v>-244</v>
      </c>
      <c r="O43" s="27">
        <v>-96441</v>
      </c>
    </row>
    <row r="44" spans="1:15" x14ac:dyDescent="0.4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5" x14ac:dyDescent="0.4">
      <c r="A45" t="s">
        <v>41</v>
      </c>
      <c r="B45">
        <v>30</v>
      </c>
      <c r="C45" s="27">
        <v>11848</v>
      </c>
      <c r="D45">
        <v>15</v>
      </c>
      <c r="E45" s="27">
        <v>5924</v>
      </c>
      <c r="F45">
        <v>15</v>
      </c>
      <c r="G45" s="27">
        <v>5924</v>
      </c>
      <c r="H45">
        <v>124</v>
      </c>
      <c r="I45" s="27">
        <v>49013</v>
      </c>
      <c r="J45">
        <v>9</v>
      </c>
      <c r="K45" s="27">
        <v>3558</v>
      </c>
      <c r="L45">
        <v>115</v>
      </c>
      <c r="M45" s="27">
        <v>45455</v>
      </c>
    </row>
    <row r="46" spans="1:15" x14ac:dyDescent="0.4">
      <c r="A46">
        <v>15</v>
      </c>
      <c r="B46" t="s">
        <v>165</v>
      </c>
      <c r="C46" t="s">
        <v>39</v>
      </c>
      <c r="D46">
        <v>7</v>
      </c>
      <c r="E46" s="27">
        <v>6081</v>
      </c>
      <c r="F46">
        <v>12</v>
      </c>
      <c r="G46" s="27">
        <v>10412</v>
      </c>
      <c r="H46">
        <v>-5</v>
      </c>
      <c r="I46" s="27">
        <v>-4330</v>
      </c>
      <c r="J46">
        <v>26</v>
      </c>
      <c r="K46" s="27">
        <v>22485</v>
      </c>
      <c r="L46">
        <v>246</v>
      </c>
      <c r="M46" s="27">
        <v>213331</v>
      </c>
      <c r="N46">
        <v>-220</v>
      </c>
      <c r="O46" s="27">
        <v>-190846</v>
      </c>
    </row>
    <row r="47" spans="1:15" x14ac:dyDescent="0.4">
      <c r="A47" t="s">
        <v>40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5" x14ac:dyDescent="0.4">
      <c r="A48" t="s">
        <v>41</v>
      </c>
      <c r="B48">
        <v>23</v>
      </c>
      <c r="C48" s="27">
        <v>19995</v>
      </c>
      <c r="D48">
        <v>24</v>
      </c>
      <c r="E48" s="27">
        <v>20858</v>
      </c>
      <c r="F48">
        <v>-1</v>
      </c>
      <c r="G48" s="27">
        <v>-863</v>
      </c>
      <c r="H48">
        <v>21</v>
      </c>
      <c r="I48" s="27">
        <v>18211</v>
      </c>
      <c r="J48">
        <v>174</v>
      </c>
      <c r="K48" s="27">
        <v>150800</v>
      </c>
      <c r="L48">
        <v>-153</v>
      </c>
      <c r="M48" s="27">
        <v>-132589</v>
      </c>
    </row>
    <row r="49" spans="1:15" x14ac:dyDescent="0.4">
      <c r="A49">
        <v>16</v>
      </c>
      <c r="B49" t="s">
        <v>166</v>
      </c>
      <c r="C49" t="s">
        <v>39</v>
      </c>
      <c r="D49">
        <v>180</v>
      </c>
      <c r="E49" s="27">
        <v>131883</v>
      </c>
      <c r="F49">
        <v>141</v>
      </c>
      <c r="G49" s="27">
        <v>103383</v>
      </c>
      <c r="H49">
        <v>39</v>
      </c>
      <c r="I49" s="27">
        <v>28500</v>
      </c>
      <c r="J49">
        <v>30</v>
      </c>
      <c r="K49" s="27">
        <v>21926</v>
      </c>
      <c r="L49">
        <v>501</v>
      </c>
      <c r="M49" s="27">
        <v>366192</v>
      </c>
      <c r="N49">
        <v>-471</v>
      </c>
      <c r="O49" s="27">
        <v>-344266</v>
      </c>
    </row>
    <row r="50" spans="1:15" x14ac:dyDescent="0.4">
      <c r="A50" t="s">
        <v>40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5" x14ac:dyDescent="0.4">
      <c r="A51" t="s">
        <v>41</v>
      </c>
      <c r="B51">
        <v>977</v>
      </c>
      <c r="C51" s="27">
        <v>717328</v>
      </c>
      <c r="D51">
        <v>979</v>
      </c>
      <c r="E51" s="27">
        <v>718654</v>
      </c>
      <c r="F51">
        <v>-2</v>
      </c>
      <c r="G51" s="27">
        <v>-1326</v>
      </c>
      <c r="H51">
        <v>12</v>
      </c>
      <c r="I51" s="27">
        <v>8781</v>
      </c>
      <c r="J51">
        <v>197</v>
      </c>
      <c r="K51" s="27">
        <v>143977</v>
      </c>
      <c r="L51">
        <v>-185</v>
      </c>
      <c r="M51" s="27">
        <v>-135196</v>
      </c>
    </row>
    <row r="52" spans="1:15" x14ac:dyDescent="0.4">
      <c r="A52">
        <v>17</v>
      </c>
      <c r="B52" t="s">
        <v>167</v>
      </c>
      <c r="C52" t="s">
        <v>39</v>
      </c>
      <c r="D52">
        <v>162</v>
      </c>
      <c r="E52" s="27">
        <v>111313</v>
      </c>
      <c r="F52">
        <v>278</v>
      </c>
      <c r="G52" s="27">
        <v>190897</v>
      </c>
      <c r="H52">
        <v>-116</v>
      </c>
      <c r="I52" s="27">
        <v>-79584</v>
      </c>
      <c r="J52">
        <v>249</v>
      </c>
      <c r="K52" s="27">
        <v>170476</v>
      </c>
      <c r="L52">
        <v>0</v>
      </c>
      <c r="M52" s="27">
        <v>0</v>
      </c>
      <c r="N52">
        <v>249</v>
      </c>
      <c r="O52" s="27">
        <v>170476</v>
      </c>
    </row>
    <row r="53" spans="1:15" x14ac:dyDescent="0.4">
      <c r="A53" t="s">
        <v>40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5" x14ac:dyDescent="0.4">
      <c r="A54" t="s">
        <v>41</v>
      </c>
      <c r="B54" s="27">
        <v>2659</v>
      </c>
      <c r="C54" s="27">
        <v>1826680</v>
      </c>
      <c r="D54" s="27">
        <v>2655</v>
      </c>
      <c r="E54" s="27">
        <v>1823366</v>
      </c>
      <c r="F54">
        <v>4</v>
      </c>
      <c r="G54" s="27">
        <v>3313</v>
      </c>
      <c r="H54">
        <v>141</v>
      </c>
      <c r="I54" s="27">
        <v>96496</v>
      </c>
      <c r="J54">
        <v>17</v>
      </c>
      <c r="K54" s="27">
        <v>11633</v>
      </c>
      <c r="L54">
        <v>124</v>
      </c>
      <c r="M54" s="27">
        <v>84863</v>
      </c>
    </row>
    <row r="55" spans="1:15" x14ac:dyDescent="0.4">
      <c r="A55">
        <v>18</v>
      </c>
      <c r="B55" t="s">
        <v>168</v>
      </c>
      <c r="C55" t="s">
        <v>39</v>
      </c>
      <c r="D55">
        <v>90</v>
      </c>
      <c r="E55" s="27">
        <v>31896</v>
      </c>
      <c r="F55">
        <v>68</v>
      </c>
      <c r="G55" s="27">
        <v>24101</v>
      </c>
      <c r="H55">
        <v>22</v>
      </c>
      <c r="I55" s="27">
        <v>7795</v>
      </c>
      <c r="J55">
        <v>200</v>
      </c>
      <c r="K55" s="27">
        <v>70915</v>
      </c>
      <c r="L55">
        <v>5</v>
      </c>
      <c r="M55" s="27">
        <v>1756</v>
      </c>
      <c r="N55">
        <v>195</v>
      </c>
      <c r="O55" s="27">
        <v>69159</v>
      </c>
    </row>
    <row r="56" spans="1:15" x14ac:dyDescent="0.4">
      <c r="A56" t="s">
        <v>40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1:15" x14ac:dyDescent="0.4">
      <c r="A57" t="s">
        <v>41</v>
      </c>
      <c r="B57">
        <v>109</v>
      </c>
      <c r="C57" s="27">
        <v>38594</v>
      </c>
      <c r="D57">
        <v>110</v>
      </c>
      <c r="E57" s="27">
        <v>38954</v>
      </c>
      <c r="F57">
        <v>-1</v>
      </c>
      <c r="G57" s="27">
        <v>-360</v>
      </c>
      <c r="H57">
        <v>129</v>
      </c>
      <c r="I57" s="27">
        <v>45756</v>
      </c>
      <c r="J57">
        <v>211</v>
      </c>
      <c r="K57" s="27">
        <v>74842</v>
      </c>
      <c r="L57">
        <v>-82</v>
      </c>
      <c r="M57" s="27">
        <v>-29086</v>
      </c>
    </row>
    <row r="58" spans="1:15" ht="34" x14ac:dyDescent="0.4">
      <c r="A58" s="26" t="s">
        <v>235</v>
      </c>
      <c r="B58" t="s">
        <v>39</v>
      </c>
      <c r="C58" s="27">
        <v>42425</v>
      </c>
      <c r="D58" s="27">
        <v>54017244</v>
      </c>
      <c r="E58" s="27">
        <v>41509</v>
      </c>
      <c r="F58" s="27">
        <v>55788760</v>
      </c>
      <c r="G58" s="27">
        <v>916</v>
      </c>
      <c r="H58" s="27">
        <v>-1771516</v>
      </c>
      <c r="I58" s="27">
        <v>118770</v>
      </c>
      <c r="J58" s="27">
        <v>101839500</v>
      </c>
      <c r="K58" s="27">
        <v>85222</v>
      </c>
      <c r="L58" s="27">
        <v>50539968</v>
      </c>
      <c r="M58" s="27">
        <v>33548</v>
      </c>
      <c r="N58" s="27">
        <v>51299532</v>
      </c>
    </row>
    <row r="59" spans="1:15" x14ac:dyDescent="0.4">
      <c r="A59" t="s">
        <v>40</v>
      </c>
      <c r="B59">
        <v>161</v>
      </c>
      <c r="C59" s="27">
        <v>525848</v>
      </c>
      <c r="D59">
        <v>282</v>
      </c>
      <c r="E59" s="27">
        <v>921149</v>
      </c>
      <c r="F59">
        <v>-121</v>
      </c>
      <c r="G59" s="27">
        <v>-395301</v>
      </c>
      <c r="H59" s="27">
        <v>18227</v>
      </c>
      <c r="I59" s="27">
        <v>47273632</v>
      </c>
      <c r="J59" s="27">
        <v>21891</v>
      </c>
      <c r="K59" s="27">
        <v>63904222</v>
      </c>
      <c r="L59" s="27">
        <v>-3664</v>
      </c>
      <c r="M59" s="27">
        <v>-16630590</v>
      </c>
    </row>
    <row r="60" spans="1:15" x14ac:dyDescent="0.4">
      <c r="A60" t="s">
        <v>41</v>
      </c>
      <c r="B60" s="27">
        <v>323530</v>
      </c>
      <c r="C60" s="27">
        <v>332567671</v>
      </c>
      <c r="D60" s="27">
        <v>323480</v>
      </c>
      <c r="E60" s="27">
        <v>344281140</v>
      </c>
      <c r="F60" s="27">
        <v>50</v>
      </c>
      <c r="G60" s="27">
        <v>-11713468</v>
      </c>
      <c r="H60" s="27">
        <v>107669</v>
      </c>
      <c r="I60" s="27">
        <v>103237910</v>
      </c>
      <c r="J60" s="27">
        <v>364890</v>
      </c>
      <c r="K60" s="27">
        <v>230168903</v>
      </c>
      <c r="L60" s="27">
        <v>-257221</v>
      </c>
      <c r="M60" s="27">
        <v>-126930993</v>
      </c>
    </row>
    <row r="61" spans="1:15" x14ac:dyDescent="0.4">
      <c r="A61" t="s">
        <v>169</v>
      </c>
      <c r="B61" s="27">
        <v>366116</v>
      </c>
      <c r="C61" s="27">
        <v>387110763</v>
      </c>
      <c r="D61" s="27">
        <v>365271</v>
      </c>
      <c r="E61" s="27">
        <v>400991049</v>
      </c>
      <c r="F61" s="27">
        <v>845</v>
      </c>
      <c r="G61" s="27">
        <v>-13880285</v>
      </c>
      <c r="H61" s="27">
        <v>244666</v>
      </c>
      <c r="I61" s="27">
        <v>252351042</v>
      </c>
      <c r="J61" s="27">
        <v>472003</v>
      </c>
      <c r="K61" s="27">
        <v>344613093</v>
      </c>
      <c r="L61" s="27">
        <v>-227337</v>
      </c>
      <c r="M61" s="27">
        <v>-92262051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6FD5F-3FA5-4151-B5FA-2425F3DA1A35}">
  <sheetPr codeName="工作表3"/>
  <dimension ref="A1:O61"/>
  <sheetViews>
    <sheetView topLeftCell="A43" workbookViewId="0">
      <selection activeCell="H12" sqref="H12"/>
    </sheetView>
  </sheetViews>
  <sheetFormatPr defaultRowHeight="17" x14ac:dyDescent="0.4"/>
  <sheetData>
    <row r="1" spans="1:15" x14ac:dyDescent="0.4">
      <c r="B1" t="s">
        <v>30</v>
      </c>
      <c r="C1" t="s">
        <v>31</v>
      </c>
    </row>
    <row r="2" spans="1:15" x14ac:dyDescent="0.4">
      <c r="A2" t="s">
        <v>148</v>
      </c>
      <c r="B2" t="s">
        <v>149</v>
      </c>
      <c r="C2" t="s">
        <v>150</v>
      </c>
      <c r="D2" t="s">
        <v>148</v>
      </c>
      <c r="E2" t="s">
        <v>149</v>
      </c>
      <c r="F2" t="s">
        <v>150</v>
      </c>
    </row>
    <row r="3" spans="1:15" ht="34" x14ac:dyDescent="0.4">
      <c r="A3" s="26" t="s">
        <v>232</v>
      </c>
      <c r="B3" s="26" t="s">
        <v>233</v>
      </c>
      <c r="C3" t="s">
        <v>35</v>
      </c>
      <c r="D3" t="s">
        <v>36</v>
      </c>
      <c r="E3" s="26" t="s">
        <v>234</v>
      </c>
      <c r="F3" t="s">
        <v>36</v>
      </c>
      <c r="G3" s="26" t="s">
        <v>234</v>
      </c>
      <c r="H3" t="s">
        <v>36</v>
      </c>
      <c r="I3" s="26" t="s">
        <v>234</v>
      </c>
      <c r="J3" t="s">
        <v>36</v>
      </c>
      <c r="K3" s="26" t="s">
        <v>234</v>
      </c>
      <c r="L3" t="s">
        <v>36</v>
      </c>
      <c r="M3" s="26" t="s">
        <v>234</v>
      </c>
      <c r="N3" t="s">
        <v>36</v>
      </c>
      <c r="O3" s="26" t="s">
        <v>234</v>
      </c>
    </row>
    <row r="4" spans="1:15" x14ac:dyDescent="0.4">
      <c r="A4">
        <v>1</v>
      </c>
      <c r="B4" t="s">
        <v>151</v>
      </c>
      <c r="C4" t="s">
        <v>39</v>
      </c>
      <c r="D4" s="27">
        <v>14548</v>
      </c>
      <c r="E4" s="27">
        <v>48791840</v>
      </c>
      <c r="F4" s="27">
        <v>14380</v>
      </c>
      <c r="G4" s="27">
        <v>48256688</v>
      </c>
      <c r="H4">
        <v>168</v>
      </c>
      <c r="I4" s="27">
        <v>535152</v>
      </c>
      <c r="J4" s="27">
        <v>21114</v>
      </c>
      <c r="K4" s="27">
        <v>70445934</v>
      </c>
      <c r="L4" s="27">
        <v>7831</v>
      </c>
      <c r="M4" s="27">
        <v>26130306</v>
      </c>
      <c r="N4" s="27">
        <v>13283</v>
      </c>
      <c r="O4" s="27">
        <v>44315628</v>
      </c>
    </row>
    <row r="5" spans="1:15" x14ac:dyDescent="0.4">
      <c r="A5" t="s">
        <v>40</v>
      </c>
      <c r="B5" s="27">
        <v>17718</v>
      </c>
      <c r="C5" s="27">
        <v>59418425</v>
      </c>
      <c r="D5" s="27">
        <v>17577</v>
      </c>
      <c r="E5" s="27">
        <v>58918957</v>
      </c>
      <c r="F5" s="27">
        <v>141</v>
      </c>
      <c r="G5" s="27">
        <v>499467</v>
      </c>
      <c r="H5" s="27">
        <v>13423</v>
      </c>
      <c r="I5" s="27">
        <v>44844259</v>
      </c>
      <c r="J5" s="27">
        <v>17088</v>
      </c>
      <c r="K5" s="27">
        <v>57079040</v>
      </c>
      <c r="L5" s="27">
        <v>-3665</v>
      </c>
      <c r="M5" s="27">
        <v>-12234781</v>
      </c>
    </row>
    <row r="6" spans="1:15" x14ac:dyDescent="0.4">
      <c r="A6" t="s">
        <v>41</v>
      </c>
      <c r="B6" s="27">
        <v>66086</v>
      </c>
      <c r="C6" s="27">
        <v>221842703</v>
      </c>
      <c r="D6" s="27">
        <v>67429</v>
      </c>
      <c r="E6" s="27">
        <v>226341900</v>
      </c>
      <c r="F6" s="27">
        <v>-1343</v>
      </c>
      <c r="G6" s="27">
        <v>-4499197</v>
      </c>
      <c r="H6" s="27">
        <v>24078</v>
      </c>
      <c r="I6" s="27">
        <v>80441204</v>
      </c>
      <c r="J6" s="27">
        <v>43080</v>
      </c>
      <c r="K6" s="27">
        <v>143882484</v>
      </c>
      <c r="L6" s="27">
        <v>-19002</v>
      </c>
      <c r="M6" s="27">
        <v>-63441280</v>
      </c>
    </row>
    <row r="7" spans="1:15" x14ac:dyDescent="0.4">
      <c r="A7">
        <v>2</v>
      </c>
      <c r="B7" t="s">
        <v>152</v>
      </c>
      <c r="C7" t="s">
        <v>39</v>
      </c>
      <c r="D7">
        <v>501</v>
      </c>
      <c r="E7" s="27">
        <v>1592297</v>
      </c>
      <c r="F7">
        <v>543</v>
      </c>
      <c r="G7" s="27">
        <v>1725225</v>
      </c>
      <c r="H7">
        <v>-42</v>
      </c>
      <c r="I7" s="27">
        <v>-132927</v>
      </c>
      <c r="J7">
        <v>477</v>
      </c>
      <c r="K7" s="27">
        <v>1504604</v>
      </c>
      <c r="L7">
        <v>473</v>
      </c>
      <c r="M7" s="27">
        <v>1492651</v>
      </c>
      <c r="N7">
        <v>4</v>
      </c>
      <c r="O7" s="27">
        <v>11953</v>
      </c>
    </row>
    <row r="8" spans="1:15" x14ac:dyDescent="0.4">
      <c r="A8" t="s">
        <v>40</v>
      </c>
      <c r="B8">
        <v>32</v>
      </c>
      <c r="C8" s="27">
        <v>101308</v>
      </c>
      <c r="D8">
        <v>32</v>
      </c>
      <c r="E8" s="27">
        <v>101543</v>
      </c>
      <c r="F8">
        <v>0</v>
      </c>
      <c r="G8" s="27">
        <v>-235</v>
      </c>
      <c r="H8">
        <v>165</v>
      </c>
      <c r="I8" s="27">
        <v>520601</v>
      </c>
      <c r="J8">
        <v>0</v>
      </c>
      <c r="K8">
        <v>0</v>
      </c>
      <c r="L8">
        <v>165</v>
      </c>
      <c r="M8" s="27">
        <v>520601</v>
      </c>
    </row>
    <row r="9" spans="1:15" x14ac:dyDescent="0.4">
      <c r="A9" t="s">
        <v>41</v>
      </c>
      <c r="B9" s="27">
        <v>1110</v>
      </c>
      <c r="C9" s="27">
        <v>3527797</v>
      </c>
      <c r="D9" s="27">
        <v>1082</v>
      </c>
      <c r="E9" s="27">
        <v>3439951</v>
      </c>
      <c r="F9">
        <v>28</v>
      </c>
      <c r="G9" s="27">
        <v>87846</v>
      </c>
      <c r="H9">
        <v>817</v>
      </c>
      <c r="I9" s="27">
        <v>2578132</v>
      </c>
      <c r="J9">
        <v>474</v>
      </c>
      <c r="K9" s="27">
        <v>1495583</v>
      </c>
      <c r="L9">
        <v>343</v>
      </c>
      <c r="M9" s="27">
        <v>1082549</v>
      </c>
    </row>
    <row r="10" spans="1:15" x14ac:dyDescent="0.4">
      <c r="A10">
        <v>3</v>
      </c>
      <c r="B10" t="s">
        <v>153</v>
      </c>
      <c r="C10" t="s">
        <v>39</v>
      </c>
      <c r="D10">
        <v>231</v>
      </c>
      <c r="E10" s="27">
        <v>369735</v>
      </c>
      <c r="F10">
        <v>246</v>
      </c>
      <c r="G10" s="27">
        <v>393783</v>
      </c>
      <c r="H10">
        <v>-15</v>
      </c>
      <c r="I10" s="27">
        <v>-24048</v>
      </c>
      <c r="J10">
        <v>466</v>
      </c>
      <c r="K10" s="27">
        <v>745377</v>
      </c>
      <c r="L10">
        <v>274</v>
      </c>
      <c r="M10" s="27">
        <v>438172</v>
      </c>
      <c r="N10">
        <v>192</v>
      </c>
      <c r="O10" s="27">
        <v>307205</v>
      </c>
    </row>
    <row r="11" spans="1:15" x14ac:dyDescent="0.4">
      <c r="A11" t="s">
        <v>40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24</v>
      </c>
      <c r="I11" s="27">
        <v>38405</v>
      </c>
      <c r="J11">
        <v>0</v>
      </c>
      <c r="K11">
        <v>0</v>
      </c>
      <c r="L11">
        <v>24</v>
      </c>
      <c r="M11" s="27">
        <v>38405</v>
      </c>
    </row>
    <row r="12" spans="1:15" x14ac:dyDescent="0.4">
      <c r="A12" t="s">
        <v>41</v>
      </c>
      <c r="B12" s="27">
        <v>630</v>
      </c>
      <c r="C12" s="27">
        <v>1008605</v>
      </c>
      <c r="D12" s="27">
        <v>668</v>
      </c>
      <c r="E12" s="27">
        <v>1069220</v>
      </c>
      <c r="F12">
        <v>-38</v>
      </c>
      <c r="G12" s="27">
        <v>-60615</v>
      </c>
      <c r="H12">
        <v>617</v>
      </c>
      <c r="I12" s="27">
        <v>986450</v>
      </c>
      <c r="J12" s="27">
        <v>2259</v>
      </c>
      <c r="K12" s="27">
        <v>3613477</v>
      </c>
      <c r="L12" s="27">
        <v>-1642</v>
      </c>
      <c r="M12" s="27">
        <v>-2627027</v>
      </c>
    </row>
    <row r="13" spans="1:15" x14ac:dyDescent="0.4">
      <c r="A13">
        <v>4</v>
      </c>
      <c r="B13" t="s">
        <v>154</v>
      </c>
      <c r="C13" t="s">
        <v>39</v>
      </c>
      <c r="D13" s="27">
        <v>11042</v>
      </c>
      <c r="E13" s="27">
        <v>9262977</v>
      </c>
      <c r="F13" s="27">
        <v>13233</v>
      </c>
      <c r="G13" s="27">
        <v>11101062</v>
      </c>
      <c r="H13" s="27">
        <v>-2191</v>
      </c>
      <c r="I13" s="27">
        <v>-1838085</v>
      </c>
      <c r="J13" s="27">
        <v>15592</v>
      </c>
      <c r="K13" s="27">
        <v>13010477</v>
      </c>
      <c r="L13" s="27">
        <v>13034</v>
      </c>
      <c r="M13" s="27">
        <v>10864944</v>
      </c>
      <c r="N13" s="27">
        <v>2558</v>
      </c>
      <c r="O13" s="27">
        <v>2145533</v>
      </c>
    </row>
    <row r="14" spans="1:15" x14ac:dyDescent="0.4">
      <c r="A14" t="s">
        <v>40</v>
      </c>
      <c r="B14">
        <v>58</v>
      </c>
      <c r="C14" s="27">
        <v>48429</v>
      </c>
      <c r="D14">
        <v>53</v>
      </c>
      <c r="E14" s="27">
        <v>44332</v>
      </c>
      <c r="F14">
        <v>5</v>
      </c>
      <c r="G14" s="27">
        <v>4097</v>
      </c>
      <c r="H14">
        <v>254</v>
      </c>
      <c r="I14" s="27">
        <v>212267</v>
      </c>
      <c r="J14">
        <v>0</v>
      </c>
      <c r="K14">
        <v>0</v>
      </c>
      <c r="L14">
        <v>254</v>
      </c>
      <c r="M14" s="27">
        <v>212267</v>
      </c>
    </row>
    <row r="15" spans="1:15" x14ac:dyDescent="0.4">
      <c r="A15" t="s">
        <v>41</v>
      </c>
      <c r="B15" s="27">
        <v>83865</v>
      </c>
      <c r="C15" s="27">
        <v>70415746</v>
      </c>
      <c r="D15" s="27">
        <v>83761</v>
      </c>
      <c r="E15" s="27">
        <v>70330489</v>
      </c>
      <c r="F15" s="27">
        <v>104</v>
      </c>
      <c r="G15" s="27">
        <v>85257</v>
      </c>
      <c r="H15" s="27">
        <v>4023</v>
      </c>
      <c r="I15" s="27">
        <v>3363166</v>
      </c>
      <c r="J15" s="27">
        <v>12213</v>
      </c>
      <c r="K15" s="27">
        <v>10208470</v>
      </c>
      <c r="L15" s="27">
        <v>-8190</v>
      </c>
      <c r="M15" s="27">
        <v>-6845304</v>
      </c>
    </row>
    <row r="16" spans="1:15" x14ac:dyDescent="0.4">
      <c r="A16">
        <v>5</v>
      </c>
      <c r="B16" t="s">
        <v>155</v>
      </c>
      <c r="C16" t="s">
        <v>39</v>
      </c>
      <c r="D16" s="27">
        <v>929</v>
      </c>
      <c r="E16" s="27">
        <v>369848</v>
      </c>
      <c r="F16" s="27">
        <v>1080</v>
      </c>
      <c r="G16" s="27">
        <v>429806</v>
      </c>
      <c r="H16">
        <v>-151</v>
      </c>
      <c r="I16" s="27">
        <v>-59959</v>
      </c>
      <c r="J16">
        <v>533</v>
      </c>
      <c r="K16" s="27">
        <v>210262</v>
      </c>
      <c r="L16">
        <v>455</v>
      </c>
      <c r="M16" s="27">
        <v>179404</v>
      </c>
      <c r="N16">
        <v>78</v>
      </c>
      <c r="O16" s="27">
        <v>30858</v>
      </c>
    </row>
    <row r="17" spans="1:15" x14ac:dyDescent="0.4">
      <c r="A17" t="s">
        <v>40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5" x14ac:dyDescent="0.4">
      <c r="A18" t="s">
        <v>41</v>
      </c>
      <c r="B18" s="27">
        <v>1336</v>
      </c>
      <c r="C18" s="27">
        <v>531846</v>
      </c>
      <c r="D18" s="27">
        <v>1488</v>
      </c>
      <c r="E18" s="27">
        <v>591972</v>
      </c>
      <c r="F18">
        <v>-152</v>
      </c>
      <c r="G18" s="27">
        <v>-60126</v>
      </c>
      <c r="H18">
        <v>280</v>
      </c>
      <c r="I18" s="27">
        <v>110474</v>
      </c>
      <c r="J18">
        <v>0</v>
      </c>
      <c r="K18" s="27">
        <v>0</v>
      </c>
      <c r="L18">
        <v>280</v>
      </c>
      <c r="M18" s="27">
        <v>110474</v>
      </c>
    </row>
    <row r="19" spans="1:15" x14ac:dyDescent="0.4">
      <c r="A19">
        <v>6</v>
      </c>
      <c r="B19" t="s">
        <v>156</v>
      </c>
      <c r="C19" t="s">
        <v>39</v>
      </c>
      <c r="D19">
        <v>0</v>
      </c>
      <c r="E19" s="27">
        <v>0</v>
      </c>
      <c r="F19">
        <v>8</v>
      </c>
      <c r="G19" s="27">
        <v>10642</v>
      </c>
      <c r="H19">
        <v>-8</v>
      </c>
      <c r="I19" s="27">
        <v>-10642</v>
      </c>
      <c r="J19">
        <v>42</v>
      </c>
      <c r="K19" s="27">
        <v>55763</v>
      </c>
      <c r="L19">
        <v>59</v>
      </c>
      <c r="M19" s="27">
        <v>78331</v>
      </c>
      <c r="N19">
        <v>-17</v>
      </c>
      <c r="O19" s="27">
        <v>-22568</v>
      </c>
    </row>
    <row r="20" spans="1:15" x14ac:dyDescent="0.4">
      <c r="A20" t="s">
        <v>40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5" x14ac:dyDescent="0.4">
      <c r="A21" t="s">
        <v>41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5" x14ac:dyDescent="0.4">
      <c r="A22">
        <v>7</v>
      </c>
      <c r="B22" t="s">
        <v>157</v>
      </c>
      <c r="C22" t="s">
        <v>39</v>
      </c>
      <c r="D22" s="27">
        <v>30243</v>
      </c>
      <c r="E22" s="27">
        <v>5878449</v>
      </c>
      <c r="F22" s="27">
        <v>30332</v>
      </c>
      <c r="G22" s="27">
        <v>6009629</v>
      </c>
      <c r="H22" s="27">
        <v>-89</v>
      </c>
      <c r="I22" s="27">
        <v>-131181</v>
      </c>
      <c r="J22" s="27">
        <v>81704</v>
      </c>
      <c r="K22" s="27">
        <v>17733701</v>
      </c>
      <c r="L22" s="27">
        <v>59166</v>
      </c>
      <c r="M22" s="27">
        <v>8745087</v>
      </c>
      <c r="N22" s="27">
        <v>22538</v>
      </c>
      <c r="O22" s="27">
        <v>8988614</v>
      </c>
    </row>
    <row r="23" spans="1:15" x14ac:dyDescent="0.4">
      <c r="A23" t="s">
        <v>40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5" x14ac:dyDescent="0.4">
      <c r="A24" t="s">
        <v>41</v>
      </c>
      <c r="B24" s="27">
        <v>249424</v>
      </c>
      <c r="C24" s="27">
        <v>56277786</v>
      </c>
      <c r="D24" s="27">
        <v>255383</v>
      </c>
      <c r="E24" s="27">
        <v>57376062</v>
      </c>
      <c r="F24" s="27">
        <v>-5959</v>
      </c>
      <c r="G24" s="27">
        <v>-1098276</v>
      </c>
      <c r="H24" s="27">
        <v>85028</v>
      </c>
      <c r="I24" s="27">
        <v>30201814</v>
      </c>
      <c r="J24" s="27">
        <v>306079</v>
      </c>
      <c r="K24" s="27">
        <v>82406043</v>
      </c>
      <c r="L24" s="27">
        <v>-221051</v>
      </c>
      <c r="M24" s="27">
        <v>-52204229</v>
      </c>
    </row>
    <row r="25" spans="1:15" x14ac:dyDescent="0.4">
      <c r="A25">
        <v>8</v>
      </c>
      <c r="B25" t="s">
        <v>158</v>
      </c>
      <c r="C25" t="s">
        <v>39</v>
      </c>
      <c r="D25">
        <v>711</v>
      </c>
      <c r="E25" s="27">
        <v>511054</v>
      </c>
      <c r="F25">
        <v>654</v>
      </c>
      <c r="G25" s="27">
        <v>531116</v>
      </c>
      <c r="H25">
        <v>57</v>
      </c>
      <c r="I25" s="27">
        <v>-20061</v>
      </c>
      <c r="J25" s="27">
        <v>2378</v>
      </c>
      <c r="K25" s="27">
        <v>2094679</v>
      </c>
      <c r="L25" s="27">
        <v>3134</v>
      </c>
      <c r="M25" s="27">
        <v>1493351</v>
      </c>
      <c r="N25">
        <v>-756</v>
      </c>
      <c r="O25" s="27">
        <v>601328</v>
      </c>
    </row>
    <row r="26" spans="1:15" x14ac:dyDescent="0.4">
      <c r="A26" t="s">
        <v>40</v>
      </c>
      <c r="B26" s="27">
        <v>2374</v>
      </c>
      <c r="C26" s="27">
        <v>3235116</v>
      </c>
      <c r="D26" s="27">
        <v>2374</v>
      </c>
      <c r="E26" s="27">
        <v>3235063</v>
      </c>
      <c r="F26">
        <v>0</v>
      </c>
      <c r="G26">
        <v>53</v>
      </c>
      <c r="H26" s="27">
        <v>4972</v>
      </c>
      <c r="I26" s="27">
        <v>4970426</v>
      </c>
      <c r="J26" s="27">
        <v>3792</v>
      </c>
      <c r="K26" s="27">
        <v>4947552</v>
      </c>
      <c r="L26" s="27">
        <v>1180</v>
      </c>
      <c r="M26" s="27">
        <v>22874</v>
      </c>
    </row>
    <row r="27" spans="1:15" x14ac:dyDescent="0.4">
      <c r="A27" t="s">
        <v>41</v>
      </c>
      <c r="B27" s="27">
        <v>2809</v>
      </c>
      <c r="C27" s="27">
        <v>3660870</v>
      </c>
      <c r="D27" s="27">
        <v>2954</v>
      </c>
      <c r="E27" s="27">
        <v>3721828</v>
      </c>
      <c r="F27">
        <v>-145</v>
      </c>
      <c r="G27" s="27">
        <v>-60956</v>
      </c>
      <c r="H27" s="27">
        <v>3256</v>
      </c>
      <c r="I27" s="27">
        <v>4338155</v>
      </c>
      <c r="J27" s="27">
        <v>4852</v>
      </c>
      <c r="K27" s="27">
        <v>5872371</v>
      </c>
      <c r="L27" s="27">
        <v>-1596</v>
      </c>
      <c r="M27" s="27">
        <v>-1534216</v>
      </c>
    </row>
    <row r="28" spans="1:15" x14ac:dyDescent="0.4">
      <c r="A28">
        <v>9</v>
      </c>
      <c r="B28" t="s">
        <v>159</v>
      </c>
      <c r="C28" t="s">
        <v>39</v>
      </c>
      <c r="D28">
        <v>29</v>
      </c>
      <c r="E28" s="27">
        <v>23392</v>
      </c>
      <c r="F28">
        <v>24</v>
      </c>
      <c r="G28" s="27">
        <v>19352</v>
      </c>
      <c r="H28">
        <v>5</v>
      </c>
      <c r="I28" s="27">
        <v>4040</v>
      </c>
      <c r="J28">
        <v>12</v>
      </c>
      <c r="K28" s="27">
        <v>9701</v>
      </c>
      <c r="L28">
        <v>82</v>
      </c>
      <c r="M28" s="27">
        <v>66374</v>
      </c>
      <c r="N28">
        <v>-70</v>
      </c>
      <c r="O28" s="27">
        <v>-56673</v>
      </c>
    </row>
    <row r="29" spans="1:15" x14ac:dyDescent="0.4">
      <c r="A29" t="s">
        <v>40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5" x14ac:dyDescent="0.4">
      <c r="A30" t="s">
        <v>41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5" x14ac:dyDescent="0.4">
      <c r="A31">
        <v>10</v>
      </c>
      <c r="B31" t="s">
        <v>160</v>
      </c>
      <c r="C31" t="s">
        <v>39</v>
      </c>
      <c r="D31">
        <v>82</v>
      </c>
      <c r="E31" s="27">
        <v>132835</v>
      </c>
      <c r="F31">
        <v>110</v>
      </c>
      <c r="G31" s="27">
        <v>178172</v>
      </c>
      <c r="H31">
        <v>-28</v>
      </c>
      <c r="I31" s="27">
        <v>-45337</v>
      </c>
      <c r="J31">
        <v>275</v>
      </c>
      <c r="K31" s="27">
        <v>447145</v>
      </c>
      <c r="L31">
        <v>70</v>
      </c>
      <c r="M31" s="27">
        <v>113743</v>
      </c>
      <c r="N31">
        <v>205</v>
      </c>
      <c r="O31" s="27">
        <v>333402</v>
      </c>
    </row>
    <row r="32" spans="1:15" x14ac:dyDescent="0.4">
      <c r="A32" t="s">
        <v>40</v>
      </c>
      <c r="B32">
        <v>2</v>
      </c>
      <c r="C32" s="27">
        <v>3231</v>
      </c>
      <c r="D32">
        <v>2</v>
      </c>
      <c r="E32" s="27">
        <v>3235</v>
      </c>
      <c r="F32">
        <v>0</v>
      </c>
      <c r="G32">
        <v>-4</v>
      </c>
      <c r="H32">
        <v>2</v>
      </c>
      <c r="I32" s="27">
        <v>3247</v>
      </c>
      <c r="J32">
        <v>0</v>
      </c>
      <c r="K32">
        <v>0</v>
      </c>
      <c r="L32">
        <v>2</v>
      </c>
      <c r="M32" s="27">
        <v>3247</v>
      </c>
    </row>
    <row r="33" spans="1:15" x14ac:dyDescent="0.4">
      <c r="A33" t="s">
        <v>41</v>
      </c>
      <c r="B33">
        <v>101</v>
      </c>
      <c r="C33" s="27">
        <v>163633</v>
      </c>
      <c r="D33">
        <v>70</v>
      </c>
      <c r="E33" s="27">
        <v>113424</v>
      </c>
      <c r="F33">
        <v>31</v>
      </c>
      <c r="G33" s="27">
        <v>50208</v>
      </c>
      <c r="H33">
        <v>15</v>
      </c>
      <c r="I33" s="27">
        <v>24390</v>
      </c>
      <c r="J33">
        <v>246</v>
      </c>
      <c r="K33" s="27">
        <v>399996</v>
      </c>
      <c r="L33">
        <v>-231</v>
      </c>
      <c r="M33" s="27">
        <v>-375606</v>
      </c>
    </row>
    <row r="34" spans="1:15" x14ac:dyDescent="0.4">
      <c r="A34">
        <v>11</v>
      </c>
      <c r="B34" t="s">
        <v>161</v>
      </c>
      <c r="C34" t="s">
        <v>39</v>
      </c>
      <c r="D34">
        <v>14</v>
      </c>
      <c r="E34" s="27">
        <v>6041</v>
      </c>
      <c r="F34">
        <v>16</v>
      </c>
      <c r="G34" s="27">
        <v>6916</v>
      </c>
      <c r="H34">
        <v>-2</v>
      </c>
      <c r="I34" s="27">
        <v>-875</v>
      </c>
      <c r="J34">
        <v>38</v>
      </c>
      <c r="K34" s="27">
        <v>16394</v>
      </c>
      <c r="L34">
        <v>55</v>
      </c>
      <c r="M34" s="27">
        <v>23698</v>
      </c>
      <c r="N34">
        <v>-17</v>
      </c>
      <c r="O34" s="27">
        <v>-7304</v>
      </c>
    </row>
    <row r="35" spans="1:15" x14ac:dyDescent="0.4">
      <c r="A35" t="s">
        <v>40</v>
      </c>
      <c r="B35">
        <v>0</v>
      </c>
      <c r="C35" s="27">
        <v>0</v>
      </c>
      <c r="D35">
        <v>0</v>
      </c>
      <c r="E35" s="27">
        <v>0</v>
      </c>
      <c r="F35">
        <v>0</v>
      </c>
      <c r="G35">
        <v>0</v>
      </c>
      <c r="H35">
        <v>30</v>
      </c>
      <c r="I35" s="27">
        <v>12926</v>
      </c>
      <c r="J35">
        <v>0</v>
      </c>
      <c r="K35">
        <v>0</v>
      </c>
      <c r="L35">
        <v>30</v>
      </c>
      <c r="M35" s="27">
        <v>12926</v>
      </c>
    </row>
    <row r="36" spans="1:15" x14ac:dyDescent="0.4">
      <c r="A36" t="s">
        <v>41</v>
      </c>
      <c r="B36">
        <v>0</v>
      </c>
      <c r="C36" s="27">
        <v>0</v>
      </c>
      <c r="D36">
        <v>0</v>
      </c>
      <c r="E36">
        <v>0</v>
      </c>
      <c r="F36">
        <v>0</v>
      </c>
      <c r="G36" s="27">
        <v>0</v>
      </c>
      <c r="H36">
        <v>0</v>
      </c>
      <c r="I36">
        <v>0</v>
      </c>
      <c r="J36">
        <v>30</v>
      </c>
      <c r="K36" s="27">
        <v>12951</v>
      </c>
      <c r="L36">
        <v>-30</v>
      </c>
      <c r="M36" s="27">
        <v>-12951</v>
      </c>
    </row>
    <row r="37" spans="1:15" x14ac:dyDescent="0.4">
      <c r="A37">
        <v>12</v>
      </c>
      <c r="B37" t="s">
        <v>162</v>
      </c>
      <c r="C37" t="s">
        <v>39</v>
      </c>
      <c r="D37">
        <v>9</v>
      </c>
      <c r="E37" s="27">
        <v>7653</v>
      </c>
      <c r="F37">
        <v>9</v>
      </c>
      <c r="G37" s="27">
        <v>7653</v>
      </c>
      <c r="H37">
        <v>0</v>
      </c>
      <c r="I37">
        <v>0</v>
      </c>
      <c r="J37">
        <v>0</v>
      </c>
      <c r="K37">
        <v>0</v>
      </c>
      <c r="L37">
        <v>43</v>
      </c>
      <c r="M37" s="27">
        <v>36391</v>
      </c>
      <c r="N37">
        <v>-43</v>
      </c>
      <c r="O37" s="27">
        <v>-36391</v>
      </c>
    </row>
    <row r="38" spans="1:15" x14ac:dyDescent="0.4">
      <c r="A38" t="s">
        <v>40</v>
      </c>
      <c r="B38">
        <v>9</v>
      </c>
      <c r="C38" s="27">
        <v>7653</v>
      </c>
      <c r="D38">
        <v>9</v>
      </c>
      <c r="E38" s="27">
        <v>7653</v>
      </c>
      <c r="F38">
        <v>0</v>
      </c>
      <c r="G38">
        <v>0</v>
      </c>
      <c r="H38">
        <v>35</v>
      </c>
      <c r="I38" s="27">
        <v>29621</v>
      </c>
      <c r="J38">
        <v>0</v>
      </c>
      <c r="K38">
        <v>0</v>
      </c>
      <c r="L38">
        <v>35</v>
      </c>
      <c r="M38" s="27">
        <v>29621</v>
      </c>
    </row>
    <row r="39" spans="1:15" x14ac:dyDescent="0.4">
      <c r="A39" t="s">
        <v>41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7</v>
      </c>
      <c r="I39" s="27">
        <v>5924</v>
      </c>
      <c r="J39">
        <v>0</v>
      </c>
      <c r="K39">
        <v>0</v>
      </c>
      <c r="L39">
        <v>7</v>
      </c>
      <c r="M39" s="27">
        <v>5924</v>
      </c>
    </row>
    <row r="40" spans="1:15" x14ac:dyDescent="0.4">
      <c r="A40">
        <v>13</v>
      </c>
      <c r="B40" t="s">
        <v>163</v>
      </c>
      <c r="C40" t="s">
        <v>39</v>
      </c>
      <c r="D40">
        <v>7</v>
      </c>
      <c r="E40" s="27">
        <v>1470</v>
      </c>
      <c r="F40">
        <v>1</v>
      </c>
      <c r="G40" s="27">
        <v>210</v>
      </c>
      <c r="H40">
        <v>6</v>
      </c>
      <c r="I40" s="27">
        <v>1260</v>
      </c>
      <c r="J40">
        <v>1</v>
      </c>
      <c r="K40">
        <v>212</v>
      </c>
      <c r="L40">
        <v>9</v>
      </c>
      <c r="M40" s="27">
        <v>1892</v>
      </c>
      <c r="N40">
        <v>-8</v>
      </c>
      <c r="O40" s="27">
        <v>-1680</v>
      </c>
    </row>
    <row r="41" spans="1:15" x14ac:dyDescent="0.4">
      <c r="A41" t="s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5" x14ac:dyDescent="0.4">
      <c r="A42" t="s">
        <v>41</v>
      </c>
      <c r="B42">
        <v>0</v>
      </c>
      <c r="C42">
        <v>0</v>
      </c>
      <c r="D42">
        <v>4</v>
      </c>
      <c r="E42">
        <v>838</v>
      </c>
      <c r="F42">
        <v>-4</v>
      </c>
      <c r="G42">
        <v>-838</v>
      </c>
      <c r="H42">
        <v>0</v>
      </c>
      <c r="I42" s="27">
        <v>0</v>
      </c>
      <c r="J42">
        <v>8</v>
      </c>
      <c r="K42" s="27">
        <v>1692</v>
      </c>
      <c r="L42">
        <v>-8</v>
      </c>
      <c r="M42" s="27">
        <v>-1692</v>
      </c>
    </row>
    <row r="43" spans="1:15" x14ac:dyDescent="0.4">
      <c r="A43">
        <v>14</v>
      </c>
      <c r="B43" t="s">
        <v>164</v>
      </c>
      <c r="C43" t="s">
        <v>39</v>
      </c>
      <c r="D43">
        <v>110</v>
      </c>
      <c r="E43" s="27">
        <v>44385</v>
      </c>
      <c r="F43">
        <v>103</v>
      </c>
      <c r="G43" s="27">
        <v>41550</v>
      </c>
      <c r="H43">
        <v>7</v>
      </c>
      <c r="I43" s="27">
        <v>2835</v>
      </c>
      <c r="J43">
        <v>15</v>
      </c>
      <c r="K43" s="27">
        <v>6040</v>
      </c>
      <c r="L43">
        <v>306</v>
      </c>
      <c r="M43" s="27">
        <v>123196</v>
      </c>
      <c r="N43">
        <v>-291</v>
      </c>
      <c r="O43" s="27">
        <v>-117156</v>
      </c>
    </row>
    <row r="44" spans="1:15" x14ac:dyDescent="0.4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5" x14ac:dyDescent="0.4">
      <c r="A45" t="s">
        <v>41</v>
      </c>
      <c r="B45">
        <v>47</v>
      </c>
      <c r="C45" s="27">
        <v>18958</v>
      </c>
      <c r="D45">
        <v>65</v>
      </c>
      <c r="E45" s="27">
        <v>26224</v>
      </c>
      <c r="F45">
        <v>-18</v>
      </c>
      <c r="G45" s="27">
        <v>-7266</v>
      </c>
      <c r="H45">
        <v>186</v>
      </c>
      <c r="I45" s="27">
        <v>74884</v>
      </c>
      <c r="J45">
        <v>13</v>
      </c>
      <c r="K45" s="27">
        <v>5234</v>
      </c>
      <c r="L45">
        <v>173</v>
      </c>
      <c r="M45" s="27">
        <v>69650</v>
      </c>
    </row>
    <row r="46" spans="1:15" x14ac:dyDescent="0.4">
      <c r="A46">
        <v>15</v>
      </c>
      <c r="B46" t="s">
        <v>165</v>
      </c>
      <c r="C46" t="s">
        <v>39</v>
      </c>
      <c r="D46">
        <v>15</v>
      </c>
      <c r="E46" s="27">
        <v>13361</v>
      </c>
      <c r="F46">
        <v>0</v>
      </c>
      <c r="G46" s="27">
        <v>0</v>
      </c>
      <c r="H46">
        <v>15</v>
      </c>
      <c r="I46" s="27">
        <v>13361</v>
      </c>
      <c r="J46">
        <v>14</v>
      </c>
      <c r="K46" s="27">
        <v>12467</v>
      </c>
      <c r="L46">
        <v>168</v>
      </c>
      <c r="M46" s="27">
        <v>149772</v>
      </c>
      <c r="N46">
        <v>-154</v>
      </c>
      <c r="O46" s="27">
        <v>-137305</v>
      </c>
    </row>
    <row r="47" spans="1:15" x14ac:dyDescent="0.4">
      <c r="A47" t="s">
        <v>40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5" x14ac:dyDescent="0.4">
      <c r="A48" t="s">
        <v>41</v>
      </c>
      <c r="B48">
        <v>16</v>
      </c>
      <c r="C48" s="27">
        <v>14254</v>
      </c>
      <c r="D48">
        <v>22</v>
      </c>
      <c r="E48" s="27">
        <v>19588</v>
      </c>
      <c r="F48">
        <v>-6</v>
      </c>
      <c r="G48" s="27">
        <v>-5334</v>
      </c>
      <c r="H48">
        <v>56</v>
      </c>
      <c r="I48" s="27">
        <v>49924</v>
      </c>
      <c r="J48">
        <v>254</v>
      </c>
      <c r="K48" s="27">
        <v>226410</v>
      </c>
      <c r="L48">
        <v>-198</v>
      </c>
      <c r="M48" s="27">
        <v>-176486</v>
      </c>
    </row>
    <row r="49" spans="1:15" x14ac:dyDescent="0.4">
      <c r="A49">
        <v>16</v>
      </c>
      <c r="B49" t="s">
        <v>166</v>
      </c>
      <c r="C49" t="s">
        <v>39</v>
      </c>
      <c r="D49">
        <v>223</v>
      </c>
      <c r="E49" s="27">
        <v>168254</v>
      </c>
      <c r="F49">
        <v>35</v>
      </c>
      <c r="G49" s="27">
        <v>26403</v>
      </c>
      <c r="H49">
        <v>188</v>
      </c>
      <c r="I49" s="27">
        <v>141851</v>
      </c>
      <c r="J49">
        <v>67</v>
      </c>
      <c r="K49" s="27">
        <v>50541</v>
      </c>
      <c r="L49">
        <v>7</v>
      </c>
      <c r="M49" s="27">
        <v>5281</v>
      </c>
      <c r="N49">
        <v>60</v>
      </c>
      <c r="O49" s="27">
        <v>45260</v>
      </c>
    </row>
    <row r="50" spans="1:15" x14ac:dyDescent="0.4">
      <c r="A50" t="s">
        <v>40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5" x14ac:dyDescent="0.4">
      <c r="A51" t="s">
        <v>41</v>
      </c>
      <c r="B51" s="27">
        <v>689</v>
      </c>
      <c r="C51" s="27">
        <v>519682</v>
      </c>
      <c r="D51" s="27">
        <v>720</v>
      </c>
      <c r="E51" s="27">
        <v>542930</v>
      </c>
      <c r="F51">
        <v>-31</v>
      </c>
      <c r="G51" s="27">
        <v>-23248</v>
      </c>
      <c r="H51">
        <v>134</v>
      </c>
      <c r="I51" s="27">
        <v>101084</v>
      </c>
      <c r="J51">
        <v>132</v>
      </c>
      <c r="K51" s="27">
        <v>99575</v>
      </c>
      <c r="L51">
        <v>2</v>
      </c>
      <c r="M51" s="27">
        <v>1509</v>
      </c>
    </row>
    <row r="52" spans="1:15" x14ac:dyDescent="0.4">
      <c r="A52">
        <v>17</v>
      </c>
      <c r="B52" t="s">
        <v>167</v>
      </c>
      <c r="C52" t="s">
        <v>39</v>
      </c>
      <c r="D52">
        <v>498</v>
      </c>
      <c r="E52" s="27">
        <v>349425</v>
      </c>
      <c r="F52">
        <v>118</v>
      </c>
      <c r="G52" s="27">
        <v>82720</v>
      </c>
      <c r="H52">
        <v>380</v>
      </c>
      <c r="I52" s="27">
        <v>266705</v>
      </c>
      <c r="J52">
        <v>967</v>
      </c>
      <c r="K52" s="27">
        <v>679956</v>
      </c>
      <c r="L52">
        <v>23</v>
      </c>
      <c r="M52" s="27">
        <v>16125</v>
      </c>
      <c r="N52">
        <v>944</v>
      </c>
      <c r="O52" s="27">
        <v>663831</v>
      </c>
    </row>
    <row r="53" spans="1:15" x14ac:dyDescent="0.4">
      <c r="A53" t="s">
        <v>40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5" x14ac:dyDescent="0.4">
      <c r="A54" t="s">
        <v>41</v>
      </c>
      <c r="B54" s="27">
        <v>1142</v>
      </c>
      <c r="C54" s="27">
        <v>800992</v>
      </c>
      <c r="D54" s="27">
        <v>1010</v>
      </c>
      <c r="E54" s="27">
        <v>708219</v>
      </c>
      <c r="F54">
        <v>132</v>
      </c>
      <c r="G54" s="27">
        <v>92773</v>
      </c>
      <c r="H54">
        <v>468</v>
      </c>
      <c r="I54" s="27">
        <v>329064</v>
      </c>
      <c r="J54">
        <v>23</v>
      </c>
      <c r="K54" s="27">
        <v>16125</v>
      </c>
      <c r="L54">
        <v>445</v>
      </c>
      <c r="M54" s="27">
        <v>312939</v>
      </c>
    </row>
    <row r="55" spans="1:15" x14ac:dyDescent="0.4">
      <c r="A55">
        <v>18</v>
      </c>
      <c r="B55" t="s">
        <v>168</v>
      </c>
      <c r="C55" t="s">
        <v>39</v>
      </c>
      <c r="D55">
        <v>76</v>
      </c>
      <c r="E55" s="27">
        <v>27371</v>
      </c>
      <c r="F55">
        <v>20</v>
      </c>
      <c r="G55" s="27">
        <v>7197</v>
      </c>
      <c r="H55">
        <v>56</v>
      </c>
      <c r="I55" s="27">
        <v>20174</v>
      </c>
      <c r="J55">
        <v>348</v>
      </c>
      <c r="K55" s="27">
        <v>125429</v>
      </c>
      <c r="L55">
        <v>5</v>
      </c>
      <c r="M55" s="27">
        <v>1785</v>
      </c>
      <c r="N55">
        <v>343</v>
      </c>
      <c r="O55" s="27">
        <v>123644</v>
      </c>
    </row>
    <row r="56" spans="1:15" x14ac:dyDescent="0.4">
      <c r="A56" t="s">
        <v>40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1:15" x14ac:dyDescent="0.4">
      <c r="A57" t="s">
        <v>41</v>
      </c>
      <c r="B57">
        <v>45</v>
      </c>
      <c r="C57" s="27">
        <v>16203</v>
      </c>
      <c r="D57">
        <v>68</v>
      </c>
      <c r="E57" s="27">
        <v>24494</v>
      </c>
      <c r="F57">
        <v>-23</v>
      </c>
      <c r="G57" s="27">
        <v>-8291</v>
      </c>
      <c r="H57">
        <v>164</v>
      </c>
      <c r="I57" s="27">
        <v>59122</v>
      </c>
      <c r="J57">
        <v>183</v>
      </c>
      <c r="K57" s="27">
        <v>65972</v>
      </c>
      <c r="L57">
        <v>-19</v>
      </c>
      <c r="M57" s="27">
        <v>-6850</v>
      </c>
    </row>
    <row r="58" spans="1:15" ht="34" x14ac:dyDescent="0.4">
      <c r="A58" s="26" t="s">
        <v>235</v>
      </c>
      <c r="B58" t="s">
        <v>39</v>
      </c>
      <c r="C58" s="27">
        <v>59268</v>
      </c>
      <c r="D58" s="27">
        <v>67550387</v>
      </c>
      <c r="E58" s="27">
        <v>60912</v>
      </c>
      <c r="F58" s="27">
        <v>68828124</v>
      </c>
      <c r="G58" s="27">
        <v>-1644</v>
      </c>
      <c r="H58" s="27">
        <v>-1277737</v>
      </c>
      <c r="I58" s="27">
        <v>124043</v>
      </c>
      <c r="J58" s="27">
        <v>107148682</v>
      </c>
      <c r="K58" s="27">
        <v>85194</v>
      </c>
      <c r="L58" s="27">
        <v>49960503</v>
      </c>
      <c r="M58" s="27">
        <v>38849</v>
      </c>
      <c r="N58" s="27">
        <v>57188179</v>
      </c>
    </row>
    <row r="59" spans="1:15" x14ac:dyDescent="0.4">
      <c r="A59" t="s">
        <v>40</v>
      </c>
      <c r="B59" s="27">
        <v>20193</v>
      </c>
      <c r="C59" s="27">
        <v>62814162</v>
      </c>
      <c r="D59" s="27">
        <v>20047</v>
      </c>
      <c r="E59" s="27">
        <v>62310783</v>
      </c>
      <c r="F59" s="27">
        <v>146</v>
      </c>
      <c r="G59" s="27">
        <v>503378</v>
      </c>
      <c r="H59" s="27">
        <v>18905</v>
      </c>
      <c r="I59" s="27">
        <v>50631752</v>
      </c>
      <c r="J59" s="27">
        <v>20880</v>
      </c>
      <c r="K59" s="27">
        <v>62026592</v>
      </c>
      <c r="L59" s="27">
        <v>-1975</v>
      </c>
      <c r="M59" s="27">
        <v>-11394840</v>
      </c>
    </row>
    <row r="60" spans="1:15" x14ac:dyDescent="0.4">
      <c r="A60" t="s">
        <v>41</v>
      </c>
      <c r="B60" s="27">
        <v>407300</v>
      </c>
      <c r="C60" s="27">
        <v>358799075</v>
      </c>
      <c r="D60" s="27">
        <v>414724</v>
      </c>
      <c r="E60" s="27">
        <v>364307139</v>
      </c>
      <c r="F60" s="27">
        <v>-7424</v>
      </c>
      <c r="G60" s="27">
        <v>-5508063</v>
      </c>
      <c r="H60" s="27">
        <v>119129</v>
      </c>
      <c r="I60" s="27">
        <v>122663787</v>
      </c>
      <c r="J60" s="27">
        <v>369846</v>
      </c>
      <c r="K60" s="27">
        <v>248306383</v>
      </c>
      <c r="L60" s="27">
        <v>-250717</v>
      </c>
      <c r="M60" s="27">
        <v>-125642596</v>
      </c>
    </row>
    <row r="61" spans="1:15" x14ac:dyDescent="0.4">
      <c r="A61" t="s">
        <v>169</v>
      </c>
      <c r="B61" s="27">
        <v>486761</v>
      </c>
      <c r="C61" s="27">
        <v>489163624</v>
      </c>
      <c r="D61" s="27">
        <v>495683</v>
      </c>
      <c r="E61" s="27">
        <v>495446046</v>
      </c>
      <c r="F61" s="27">
        <v>-8922</v>
      </c>
      <c r="G61" s="27">
        <v>-6282422</v>
      </c>
      <c r="H61" s="27">
        <v>262077</v>
      </c>
      <c r="I61" s="27">
        <v>280444221</v>
      </c>
      <c r="J61" s="27">
        <v>475920</v>
      </c>
      <c r="K61" s="27">
        <v>360293478</v>
      </c>
      <c r="L61" s="27">
        <v>-213843</v>
      </c>
      <c r="M61" s="27">
        <v>-79849257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4FFE-6D7B-4A90-8338-D7E2CB9312EA}">
  <sheetPr codeName="工作表8"/>
  <dimension ref="A1:O8"/>
  <sheetViews>
    <sheetView workbookViewId="0">
      <selection activeCell="H8" sqref="H8"/>
    </sheetView>
  </sheetViews>
  <sheetFormatPr defaultRowHeight="17" x14ac:dyDescent="0.4"/>
  <cols>
    <col min="11" max="11" width="15.81640625" bestFit="1" customWidth="1"/>
    <col min="12" max="13" width="14.7265625" bestFit="1" customWidth="1"/>
    <col min="14" max="15" width="12.36328125" bestFit="1" customWidth="1"/>
  </cols>
  <sheetData>
    <row r="1" spans="1:15" ht="34" x14ac:dyDescent="0.4">
      <c r="A1" t="s">
        <v>48</v>
      </c>
      <c r="B1" s="26" t="s">
        <v>236</v>
      </c>
      <c r="C1" t="s">
        <v>51</v>
      </c>
      <c r="D1" t="s">
        <v>52</v>
      </c>
      <c r="E1" t="s">
        <v>53</v>
      </c>
      <c r="F1" s="26" t="s">
        <v>237</v>
      </c>
      <c r="G1" t="s">
        <v>55</v>
      </c>
      <c r="H1" t="s">
        <v>56</v>
      </c>
      <c r="I1" t="s">
        <v>57</v>
      </c>
      <c r="J1" t="s">
        <v>54</v>
      </c>
      <c r="K1" t="s">
        <v>170</v>
      </c>
      <c r="L1" t="s">
        <v>58</v>
      </c>
      <c r="M1" t="s">
        <v>59</v>
      </c>
      <c r="N1" t="s">
        <v>60</v>
      </c>
      <c r="O1" t="s">
        <v>61</v>
      </c>
    </row>
    <row r="2" spans="1:15" x14ac:dyDescent="0.4">
      <c r="A2" t="s">
        <v>171</v>
      </c>
      <c r="B2">
        <v>202110</v>
      </c>
      <c r="C2">
        <v>16389</v>
      </c>
      <c r="D2">
        <v>16563</v>
      </c>
      <c r="E2">
        <v>16378</v>
      </c>
      <c r="F2">
        <v>16427</v>
      </c>
      <c r="G2" t="s">
        <v>545</v>
      </c>
      <c r="H2" t="s">
        <v>546</v>
      </c>
      <c r="I2">
        <v>46610</v>
      </c>
      <c r="J2" t="s">
        <v>63</v>
      </c>
      <c r="K2" t="s">
        <v>68</v>
      </c>
      <c r="L2">
        <v>16427</v>
      </c>
      <c r="M2">
        <v>16429</v>
      </c>
      <c r="N2">
        <v>17531</v>
      </c>
      <c r="O2">
        <v>16000</v>
      </c>
    </row>
    <row r="3" spans="1:15" x14ac:dyDescent="0.4">
      <c r="A3" t="s">
        <v>171</v>
      </c>
      <c r="B3">
        <v>202111</v>
      </c>
      <c r="C3">
        <v>16374</v>
      </c>
      <c r="D3">
        <v>16536</v>
      </c>
      <c r="E3">
        <v>16356</v>
      </c>
      <c r="F3">
        <v>16389</v>
      </c>
      <c r="G3" t="s">
        <v>95</v>
      </c>
      <c r="H3" t="s">
        <v>547</v>
      </c>
      <c r="I3">
        <v>881</v>
      </c>
      <c r="J3" t="s">
        <v>63</v>
      </c>
      <c r="K3" t="s">
        <v>68</v>
      </c>
      <c r="L3">
        <v>16399</v>
      </c>
      <c r="M3">
        <v>16404</v>
      </c>
      <c r="N3">
        <v>17497</v>
      </c>
      <c r="O3">
        <v>15978</v>
      </c>
    </row>
    <row r="4" spans="1:15" x14ac:dyDescent="0.4">
      <c r="A4" t="s">
        <v>171</v>
      </c>
      <c r="B4">
        <v>202112</v>
      </c>
      <c r="C4">
        <v>16394</v>
      </c>
      <c r="D4">
        <v>16491</v>
      </c>
      <c r="E4">
        <v>16363</v>
      </c>
      <c r="F4">
        <v>16363</v>
      </c>
      <c r="G4" t="s">
        <v>77</v>
      </c>
      <c r="H4" t="s">
        <v>548</v>
      </c>
      <c r="I4">
        <v>19</v>
      </c>
      <c r="J4" t="s">
        <v>63</v>
      </c>
      <c r="K4" t="s">
        <v>68</v>
      </c>
      <c r="L4">
        <v>16372</v>
      </c>
      <c r="M4">
        <v>16377</v>
      </c>
      <c r="N4">
        <v>17568</v>
      </c>
      <c r="O4">
        <v>13184</v>
      </c>
    </row>
    <row r="5" spans="1:15" x14ac:dyDescent="0.4">
      <c r="A5" t="s">
        <v>171</v>
      </c>
      <c r="B5">
        <v>202203</v>
      </c>
      <c r="C5">
        <v>16317</v>
      </c>
      <c r="D5">
        <v>16373</v>
      </c>
      <c r="E5">
        <v>16287</v>
      </c>
      <c r="F5">
        <v>16287</v>
      </c>
      <c r="G5" t="s">
        <v>549</v>
      </c>
      <c r="H5" t="s">
        <v>550</v>
      </c>
      <c r="I5">
        <v>7</v>
      </c>
      <c r="J5" t="s">
        <v>63</v>
      </c>
      <c r="K5" t="s">
        <v>68</v>
      </c>
      <c r="L5">
        <v>16249</v>
      </c>
      <c r="M5">
        <v>16255</v>
      </c>
      <c r="N5">
        <v>17445</v>
      </c>
      <c r="O5">
        <v>14054</v>
      </c>
    </row>
    <row r="6" spans="1:15" x14ac:dyDescent="0.4">
      <c r="A6" t="s">
        <v>171</v>
      </c>
      <c r="B6">
        <v>202206</v>
      </c>
      <c r="C6">
        <v>16163</v>
      </c>
      <c r="D6">
        <v>16270</v>
      </c>
      <c r="E6">
        <v>16139</v>
      </c>
      <c r="F6">
        <v>16139</v>
      </c>
      <c r="G6" t="s">
        <v>82</v>
      </c>
      <c r="H6" s="29" t="s">
        <v>547</v>
      </c>
      <c r="I6">
        <v>10</v>
      </c>
      <c r="J6" t="s">
        <v>63</v>
      </c>
      <c r="K6" t="s">
        <v>68</v>
      </c>
      <c r="L6">
        <v>16149</v>
      </c>
      <c r="M6">
        <v>16157</v>
      </c>
      <c r="N6">
        <v>17380</v>
      </c>
      <c r="O6">
        <v>15801</v>
      </c>
    </row>
    <row r="7" spans="1:15" x14ac:dyDescent="0.4">
      <c r="A7" t="s">
        <v>171</v>
      </c>
      <c r="B7">
        <v>202209</v>
      </c>
      <c r="C7">
        <v>15891</v>
      </c>
      <c r="D7">
        <v>15891</v>
      </c>
      <c r="E7">
        <v>15891</v>
      </c>
      <c r="F7">
        <v>15891</v>
      </c>
      <c r="G7" t="s">
        <v>551</v>
      </c>
      <c r="H7" t="s">
        <v>552</v>
      </c>
      <c r="I7">
        <v>2</v>
      </c>
      <c r="J7" t="s">
        <v>63</v>
      </c>
      <c r="K7" t="s">
        <v>68</v>
      </c>
      <c r="L7">
        <v>15772</v>
      </c>
      <c r="M7">
        <v>15786</v>
      </c>
      <c r="N7">
        <v>16707</v>
      </c>
      <c r="O7">
        <v>15550</v>
      </c>
    </row>
    <row r="8" spans="1:15" x14ac:dyDescent="0.4">
      <c r="A8" t="s">
        <v>47</v>
      </c>
      <c r="B8" t="s">
        <v>47</v>
      </c>
      <c r="C8" t="s">
        <v>47</v>
      </c>
      <c r="D8" t="s">
        <v>47</v>
      </c>
      <c r="E8" t="s">
        <v>47</v>
      </c>
      <c r="F8" t="s">
        <v>47</v>
      </c>
      <c r="G8" t="s">
        <v>47</v>
      </c>
      <c r="H8" t="s">
        <v>65</v>
      </c>
      <c r="I8">
        <v>47529</v>
      </c>
      <c r="J8" t="s">
        <v>47</v>
      </c>
      <c r="L8" t="s">
        <v>47</v>
      </c>
      <c r="M8" t="s">
        <v>47</v>
      </c>
      <c r="N8" t="s">
        <v>47</v>
      </c>
      <c r="O8" t="s">
        <v>47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D43B5-01D7-473E-924E-5C4DB7F7CA8F}">
  <sheetPr codeName="工作表9"/>
  <dimension ref="A1:O8"/>
  <sheetViews>
    <sheetView workbookViewId="0">
      <selection activeCell="I15" sqref="I15"/>
    </sheetView>
  </sheetViews>
  <sheetFormatPr defaultRowHeight="17" x14ac:dyDescent="0.4"/>
  <cols>
    <col min="9" max="9" width="8.81640625" bestFit="1" customWidth="1"/>
    <col min="11" max="11" width="15.81640625" bestFit="1" customWidth="1"/>
    <col min="12" max="13" width="14.7265625" bestFit="1" customWidth="1"/>
    <col min="15" max="15" width="12.36328125" bestFit="1" customWidth="1"/>
  </cols>
  <sheetData>
    <row r="1" spans="1:15" ht="34" x14ac:dyDescent="0.4">
      <c r="A1" t="s">
        <v>48</v>
      </c>
      <c r="B1" s="26" t="s">
        <v>236</v>
      </c>
      <c r="C1" t="s">
        <v>51</v>
      </c>
      <c r="D1" t="s">
        <v>52</v>
      </c>
      <c r="E1" t="s">
        <v>53</v>
      </c>
      <c r="F1" s="26" t="s">
        <v>237</v>
      </c>
      <c r="G1" t="s">
        <v>55</v>
      </c>
      <c r="H1" t="s">
        <v>56</v>
      </c>
      <c r="I1" t="s">
        <v>57</v>
      </c>
      <c r="J1" t="s">
        <v>54</v>
      </c>
      <c r="K1" t="s">
        <v>170</v>
      </c>
      <c r="L1" t="s">
        <v>58</v>
      </c>
      <c r="M1" t="s">
        <v>59</v>
      </c>
      <c r="N1" t="s">
        <v>60</v>
      </c>
      <c r="O1" t="s">
        <v>61</v>
      </c>
    </row>
    <row r="2" spans="1:15" x14ac:dyDescent="0.4">
      <c r="A2" t="s">
        <v>171</v>
      </c>
      <c r="B2">
        <v>202110</v>
      </c>
      <c r="C2">
        <v>16788</v>
      </c>
      <c r="D2">
        <v>16862</v>
      </c>
      <c r="E2">
        <v>16771</v>
      </c>
      <c r="F2">
        <v>16859</v>
      </c>
      <c r="G2" t="s">
        <v>329</v>
      </c>
      <c r="H2" t="s">
        <v>330</v>
      </c>
      <c r="I2">
        <v>28023</v>
      </c>
      <c r="J2" t="s">
        <v>63</v>
      </c>
      <c r="K2" t="s">
        <v>68</v>
      </c>
      <c r="L2">
        <v>16857</v>
      </c>
      <c r="M2">
        <v>16860</v>
      </c>
      <c r="N2">
        <v>17531</v>
      </c>
      <c r="O2">
        <v>16000</v>
      </c>
    </row>
    <row r="3" spans="1:15" x14ac:dyDescent="0.4">
      <c r="A3" t="s">
        <v>171</v>
      </c>
      <c r="B3">
        <v>202111</v>
      </c>
      <c r="C3">
        <v>16759</v>
      </c>
      <c r="D3">
        <v>16834</v>
      </c>
      <c r="E3">
        <v>16743</v>
      </c>
      <c r="F3">
        <v>16834</v>
      </c>
      <c r="G3" t="s">
        <v>331</v>
      </c>
      <c r="H3" t="s">
        <v>332</v>
      </c>
      <c r="I3">
        <v>1539</v>
      </c>
      <c r="J3" t="s">
        <v>63</v>
      </c>
      <c r="K3" t="s">
        <v>68</v>
      </c>
      <c r="L3">
        <v>16828</v>
      </c>
      <c r="M3">
        <v>16834</v>
      </c>
      <c r="N3">
        <v>17497</v>
      </c>
      <c r="O3">
        <v>15978</v>
      </c>
    </row>
    <row r="4" spans="1:15" x14ac:dyDescent="0.4">
      <c r="A4" t="s">
        <v>171</v>
      </c>
      <c r="B4">
        <v>202112</v>
      </c>
      <c r="C4">
        <v>16725</v>
      </c>
      <c r="D4">
        <v>16802</v>
      </c>
      <c r="E4">
        <v>16725</v>
      </c>
      <c r="F4">
        <v>16802</v>
      </c>
      <c r="G4" t="s">
        <v>333</v>
      </c>
      <c r="H4" t="s">
        <v>334</v>
      </c>
      <c r="I4">
        <v>46</v>
      </c>
      <c r="J4" t="s">
        <v>63</v>
      </c>
      <c r="K4" t="s">
        <v>68</v>
      </c>
      <c r="L4">
        <v>16799</v>
      </c>
      <c r="M4">
        <v>16805</v>
      </c>
      <c r="N4">
        <v>17568</v>
      </c>
      <c r="O4">
        <v>13184</v>
      </c>
    </row>
    <row r="5" spans="1:15" x14ac:dyDescent="0.4">
      <c r="A5" t="s">
        <v>171</v>
      </c>
      <c r="B5">
        <v>202203</v>
      </c>
      <c r="C5">
        <v>16613</v>
      </c>
      <c r="D5">
        <v>16658</v>
      </c>
      <c r="E5">
        <v>16603</v>
      </c>
      <c r="F5">
        <v>16658</v>
      </c>
      <c r="G5" t="s">
        <v>335</v>
      </c>
      <c r="H5" t="s">
        <v>336</v>
      </c>
      <c r="I5">
        <v>9</v>
      </c>
      <c r="J5" t="s">
        <v>63</v>
      </c>
      <c r="K5" t="s">
        <v>68</v>
      </c>
      <c r="L5">
        <v>16676</v>
      </c>
      <c r="M5">
        <v>16683</v>
      </c>
      <c r="N5">
        <v>17445</v>
      </c>
      <c r="O5">
        <v>14054</v>
      </c>
    </row>
    <row r="6" spans="1:15" x14ac:dyDescent="0.4">
      <c r="A6" t="s">
        <v>171</v>
      </c>
      <c r="B6">
        <v>202206</v>
      </c>
      <c r="C6">
        <v>16500</v>
      </c>
      <c r="D6">
        <v>16536</v>
      </c>
      <c r="E6">
        <v>16500</v>
      </c>
      <c r="F6">
        <v>16536</v>
      </c>
      <c r="G6" t="s">
        <v>337</v>
      </c>
      <c r="H6" s="29" t="s">
        <v>338</v>
      </c>
      <c r="I6">
        <v>2</v>
      </c>
      <c r="J6" t="s">
        <v>63</v>
      </c>
      <c r="K6" t="s">
        <v>68</v>
      </c>
      <c r="L6">
        <v>16573</v>
      </c>
      <c r="M6">
        <v>16581</v>
      </c>
      <c r="N6">
        <v>17380</v>
      </c>
      <c r="O6">
        <v>15801</v>
      </c>
    </row>
    <row r="7" spans="1:15" x14ac:dyDescent="0.4">
      <c r="A7" t="s">
        <v>171</v>
      </c>
      <c r="B7">
        <v>202209</v>
      </c>
      <c r="C7">
        <v>16147</v>
      </c>
      <c r="D7">
        <v>16147</v>
      </c>
      <c r="E7">
        <v>16147</v>
      </c>
      <c r="F7">
        <v>16147</v>
      </c>
      <c r="G7" t="s">
        <v>339</v>
      </c>
      <c r="H7" s="29" t="s">
        <v>340</v>
      </c>
      <c r="I7">
        <v>1</v>
      </c>
      <c r="J7" t="s">
        <v>63</v>
      </c>
      <c r="K7" t="s">
        <v>68</v>
      </c>
      <c r="L7">
        <v>16177</v>
      </c>
      <c r="M7">
        <v>16207</v>
      </c>
      <c r="N7">
        <v>16707</v>
      </c>
      <c r="O7">
        <v>15550</v>
      </c>
    </row>
    <row r="8" spans="1:15" x14ac:dyDescent="0.4">
      <c r="A8" t="s">
        <v>47</v>
      </c>
      <c r="B8" t="s">
        <v>47</v>
      </c>
      <c r="C8" t="s">
        <v>47</v>
      </c>
      <c r="D8" t="s">
        <v>47</v>
      </c>
      <c r="E8" t="s">
        <v>47</v>
      </c>
      <c r="F8" t="s">
        <v>47</v>
      </c>
      <c r="G8" t="s">
        <v>47</v>
      </c>
      <c r="H8" t="s">
        <v>65</v>
      </c>
      <c r="I8">
        <v>29620</v>
      </c>
      <c r="J8" t="s">
        <v>47</v>
      </c>
      <c r="L8" t="s">
        <v>47</v>
      </c>
      <c r="M8" t="s">
        <v>47</v>
      </c>
      <c r="N8" t="s">
        <v>47</v>
      </c>
      <c r="O8" t="s">
        <v>47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7DE92-26F1-4300-B71D-4E55CCBE3D36}">
  <sheetPr codeName="工作表2"/>
  <dimension ref="A1:P33"/>
  <sheetViews>
    <sheetView workbookViewId="0">
      <selection activeCell="A33" sqref="A33"/>
    </sheetView>
  </sheetViews>
  <sheetFormatPr defaultRowHeight="17" x14ac:dyDescent="0.4"/>
  <cols>
    <col min="2" max="2" width="21.81640625" bestFit="1" customWidth="1"/>
    <col min="3" max="3" width="12.36328125" bestFit="1" customWidth="1"/>
  </cols>
  <sheetData>
    <row r="1" spans="1:16" x14ac:dyDescent="0.4">
      <c r="A1" s="26"/>
      <c r="B1" t="s">
        <v>30</v>
      </c>
      <c r="C1" t="s">
        <v>31</v>
      </c>
    </row>
    <row r="2" spans="1:16" x14ac:dyDescent="0.4">
      <c r="A2" s="26" t="s">
        <v>32</v>
      </c>
      <c r="B2" t="s">
        <v>33</v>
      </c>
      <c r="C2" t="s">
        <v>34</v>
      </c>
      <c r="D2" t="s">
        <v>32</v>
      </c>
      <c r="E2" t="s">
        <v>33</v>
      </c>
      <c r="F2" t="s">
        <v>34</v>
      </c>
    </row>
    <row r="3" spans="1:16" ht="34" x14ac:dyDescent="0.4">
      <c r="A3" s="26" t="s">
        <v>232</v>
      </c>
      <c r="B3" s="26" t="s">
        <v>233</v>
      </c>
      <c r="C3" s="26" t="s">
        <v>238</v>
      </c>
      <c r="D3" t="s">
        <v>35</v>
      </c>
      <c r="E3" t="s">
        <v>36</v>
      </c>
      <c r="F3" s="26" t="s">
        <v>234</v>
      </c>
      <c r="G3" t="s">
        <v>36</v>
      </c>
      <c r="H3" s="26" t="s">
        <v>234</v>
      </c>
      <c r="I3" t="s">
        <v>36</v>
      </c>
      <c r="J3" s="26" t="s">
        <v>234</v>
      </c>
      <c r="K3" t="s">
        <v>36</v>
      </c>
      <c r="L3" s="26" t="s">
        <v>234</v>
      </c>
      <c r="M3" t="s">
        <v>36</v>
      </c>
      <c r="N3" s="26" t="s">
        <v>234</v>
      </c>
      <c r="O3" t="s">
        <v>36</v>
      </c>
      <c r="P3" s="26" t="s">
        <v>234</v>
      </c>
    </row>
    <row r="4" spans="1:16" x14ac:dyDescent="0.4">
      <c r="A4">
        <v>1</v>
      </c>
      <c r="B4" t="s">
        <v>37</v>
      </c>
      <c r="C4" t="s">
        <v>38</v>
      </c>
      <c r="D4" t="s">
        <v>39</v>
      </c>
      <c r="E4" s="27">
        <v>200086</v>
      </c>
      <c r="F4" s="91">
        <v>383457</v>
      </c>
      <c r="G4" s="27">
        <v>219055</v>
      </c>
      <c r="H4" s="27">
        <v>352404</v>
      </c>
      <c r="I4" s="27">
        <v>-18969</v>
      </c>
      <c r="J4" s="27">
        <v>31053</v>
      </c>
      <c r="K4" s="27">
        <v>58676</v>
      </c>
      <c r="L4" s="27">
        <v>171546</v>
      </c>
      <c r="M4" s="27">
        <v>61968</v>
      </c>
      <c r="N4" s="27">
        <v>105206</v>
      </c>
      <c r="O4" s="27">
        <v>-3292</v>
      </c>
      <c r="P4" s="27">
        <v>66340</v>
      </c>
    </row>
    <row r="5" spans="1:16" x14ac:dyDescent="0.4">
      <c r="A5" t="s">
        <v>40</v>
      </c>
      <c r="B5">
        <v>0</v>
      </c>
      <c r="C5" s="26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4">
      <c r="A6" t="s">
        <v>41</v>
      </c>
      <c r="B6" s="27">
        <v>117662</v>
      </c>
      <c r="C6" s="91">
        <v>348998</v>
      </c>
      <c r="D6" s="27">
        <v>115544</v>
      </c>
      <c r="E6" s="27">
        <v>376555</v>
      </c>
      <c r="F6" s="27">
        <v>2118</v>
      </c>
      <c r="G6" s="27">
        <v>-27557</v>
      </c>
      <c r="H6" s="27">
        <v>36895</v>
      </c>
      <c r="I6" s="27">
        <v>99196</v>
      </c>
      <c r="J6" s="27">
        <v>31152</v>
      </c>
      <c r="K6" s="27">
        <v>142242</v>
      </c>
      <c r="L6" s="27">
        <v>5743</v>
      </c>
      <c r="M6" s="27">
        <v>-43046</v>
      </c>
    </row>
    <row r="7" spans="1:16" x14ac:dyDescent="0.4">
      <c r="A7" t="s">
        <v>42</v>
      </c>
      <c r="B7" t="s">
        <v>39</v>
      </c>
      <c r="C7" s="27">
        <v>176874</v>
      </c>
      <c r="D7" s="91">
        <v>394740</v>
      </c>
      <c r="E7" s="27">
        <v>178451</v>
      </c>
      <c r="F7" s="27">
        <v>375001</v>
      </c>
      <c r="G7" s="27">
        <v>-1577</v>
      </c>
      <c r="H7" s="27">
        <v>19739</v>
      </c>
      <c r="I7" s="27">
        <v>54775</v>
      </c>
      <c r="J7" s="27">
        <v>630904</v>
      </c>
      <c r="K7" s="27">
        <v>48375</v>
      </c>
      <c r="L7" s="27">
        <v>655382</v>
      </c>
      <c r="M7" s="27">
        <v>6400</v>
      </c>
      <c r="N7" s="27">
        <v>-24478</v>
      </c>
    </row>
    <row r="8" spans="1:16" x14ac:dyDescent="0.4">
      <c r="A8" t="s">
        <v>40</v>
      </c>
      <c r="B8">
        <v>8</v>
      </c>
      <c r="C8" s="26">
        <v>0</v>
      </c>
      <c r="D8">
        <v>8</v>
      </c>
      <c r="E8">
        <v>38</v>
      </c>
      <c r="F8">
        <v>0</v>
      </c>
      <c r="G8">
        <v>-37</v>
      </c>
      <c r="H8">
        <v>0</v>
      </c>
      <c r="I8">
        <v>0</v>
      </c>
      <c r="J8">
        <v>59</v>
      </c>
      <c r="K8" s="27">
        <v>2709</v>
      </c>
      <c r="L8">
        <v>-59</v>
      </c>
      <c r="M8" s="27">
        <v>-2709</v>
      </c>
    </row>
    <row r="9" spans="1:16" x14ac:dyDescent="0.4">
      <c r="A9" t="s">
        <v>41</v>
      </c>
      <c r="B9" s="27">
        <v>130014</v>
      </c>
      <c r="C9" s="91">
        <v>420715</v>
      </c>
      <c r="D9" s="27">
        <v>128190</v>
      </c>
      <c r="E9" s="27">
        <v>414240</v>
      </c>
      <c r="F9" s="27">
        <v>1824</v>
      </c>
      <c r="G9" s="27">
        <v>6475</v>
      </c>
      <c r="H9" s="27">
        <v>99299</v>
      </c>
      <c r="I9" s="27">
        <v>1567134</v>
      </c>
      <c r="J9" s="27">
        <v>62375</v>
      </c>
      <c r="K9" s="27">
        <v>1519555</v>
      </c>
      <c r="L9" s="27">
        <v>36924</v>
      </c>
      <c r="M9" s="27">
        <v>47579</v>
      </c>
    </row>
    <row r="10" spans="1:16" x14ac:dyDescent="0.4">
      <c r="A10">
        <v>2</v>
      </c>
      <c r="B10" t="s">
        <v>43</v>
      </c>
      <c r="C10" t="s">
        <v>38</v>
      </c>
      <c r="D10" t="s">
        <v>39</v>
      </c>
      <c r="E10">
        <v>204</v>
      </c>
      <c r="F10" s="26">
        <v>623</v>
      </c>
      <c r="G10">
        <v>199</v>
      </c>
      <c r="H10">
        <v>629</v>
      </c>
      <c r="I10">
        <v>5</v>
      </c>
      <c r="J10">
        <v>-6</v>
      </c>
      <c r="K10" s="27">
        <v>1313</v>
      </c>
      <c r="L10" s="27">
        <v>2187</v>
      </c>
      <c r="M10" s="27">
        <v>1357</v>
      </c>
      <c r="N10" s="27">
        <v>1919</v>
      </c>
      <c r="O10">
        <v>-44</v>
      </c>
      <c r="P10">
        <v>268</v>
      </c>
    </row>
    <row r="11" spans="1:16" x14ac:dyDescent="0.4">
      <c r="A11" t="s">
        <v>40</v>
      </c>
      <c r="B11">
        <v>0</v>
      </c>
      <c r="C11" s="26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6" x14ac:dyDescent="0.4">
      <c r="A12" t="s">
        <v>41</v>
      </c>
      <c r="B12">
        <v>0</v>
      </c>
      <c r="C12" s="26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6" x14ac:dyDescent="0.4">
      <c r="A13" t="s">
        <v>42</v>
      </c>
      <c r="B13" t="s">
        <v>39</v>
      </c>
      <c r="C13">
        <v>207</v>
      </c>
      <c r="D13" s="91">
        <v>1290</v>
      </c>
      <c r="E13">
        <v>196</v>
      </c>
      <c r="F13">
        <v>968</v>
      </c>
      <c r="G13">
        <v>11</v>
      </c>
      <c r="H13">
        <v>322</v>
      </c>
      <c r="I13">
        <v>818</v>
      </c>
      <c r="J13" s="27">
        <v>11526</v>
      </c>
      <c r="K13">
        <v>734</v>
      </c>
      <c r="L13" s="27">
        <v>10531</v>
      </c>
      <c r="M13">
        <v>84</v>
      </c>
      <c r="N13" s="27">
        <v>995</v>
      </c>
    </row>
    <row r="14" spans="1:16" x14ac:dyDescent="0.4">
      <c r="A14" t="s">
        <v>40</v>
      </c>
      <c r="B14">
        <v>0</v>
      </c>
      <c r="C14" s="26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6" x14ac:dyDescent="0.4">
      <c r="A15" t="s">
        <v>41</v>
      </c>
      <c r="B15">
        <v>0</v>
      </c>
      <c r="C15" s="26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6" x14ac:dyDescent="0.4">
      <c r="A16">
        <v>3</v>
      </c>
      <c r="B16" t="s">
        <v>44</v>
      </c>
      <c r="C16" t="s">
        <v>38</v>
      </c>
      <c r="D16" t="s">
        <v>39</v>
      </c>
      <c r="E16">
        <v>170</v>
      </c>
      <c r="F16" s="26">
        <v>348</v>
      </c>
      <c r="G16">
        <v>190</v>
      </c>
      <c r="H16">
        <v>268</v>
      </c>
      <c r="I16">
        <v>-20</v>
      </c>
      <c r="J16">
        <v>80</v>
      </c>
      <c r="K16" s="27">
        <v>1802</v>
      </c>
      <c r="L16" s="27">
        <v>8600</v>
      </c>
      <c r="M16" s="27">
        <v>1565</v>
      </c>
      <c r="N16" s="27">
        <v>5764</v>
      </c>
      <c r="O16" s="27">
        <v>237</v>
      </c>
      <c r="P16" s="27">
        <v>2836</v>
      </c>
    </row>
    <row r="17" spans="1:16" x14ac:dyDescent="0.4">
      <c r="A17" t="s">
        <v>40</v>
      </c>
      <c r="B17">
        <v>0</v>
      </c>
      <c r="C17" s="26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6" x14ac:dyDescent="0.4">
      <c r="A18" t="s">
        <v>41</v>
      </c>
      <c r="B18">
        <v>0</v>
      </c>
      <c r="C18" s="26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6" x14ac:dyDescent="0.4">
      <c r="A19" t="s">
        <v>42</v>
      </c>
      <c r="B19" t="s">
        <v>39</v>
      </c>
      <c r="C19">
        <v>93</v>
      </c>
      <c r="D19" s="26">
        <v>190</v>
      </c>
      <c r="E19">
        <v>118</v>
      </c>
      <c r="F19">
        <v>241</v>
      </c>
      <c r="G19">
        <v>-25</v>
      </c>
      <c r="H19">
        <v>-52</v>
      </c>
      <c r="I19" s="27">
        <v>1505</v>
      </c>
      <c r="J19" s="27">
        <v>3587</v>
      </c>
      <c r="K19">
        <v>960</v>
      </c>
      <c r="L19" s="27">
        <v>926</v>
      </c>
      <c r="M19">
        <v>545</v>
      </c>
      <c r="N19" s="27">
        <v>2661</v>
      </c>
    </row>
    <row r="20" spans="1:16" x14ac:dyDescent="0.4">
      <c r="A20" t="s">
        <v>40</v>
      </c>
      <c r="B20">
        <v>0</v>
      </c>
      <c r="C20" s="26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6" x14ac:dyDescent="0.4">
      <c r="A21" t="s">
        <v>41</v>
      </c>
      <c r="B21">
        <v>0</v>
      </c>
      <c r="C21" s="26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6" x14ac:dyDescent="0.4">
      <c r="A22">
        <v>4</v>
      </c>
      <c r="B22" t="s">
        <v>45</v>
      </c>
      <c r="C22" t="s">
        <v>38</v>
      </c>
      <c r="D22" t="s">
        <v>39</v>
      </c>
      <c r="E22">
        <v>27</v>
      </c>
      <c r="F22" s="26">
        <v>327</v>
      </c>
      <c r="G22">
        <v>38</v>
      </c>
      <c r="H22" s="27">
        <v>511</v>
      </c>
      <c r="I22">
        <v>-11</v>
      </c>
      <c r="J22">
        <v>-184</v>
      </c>
      <c r="K22">
        <v>927</v>
      </c>
      <c r="L22" s="27">
        <v>1274</v>
      </c>
      <c r="M22">
        <v>561</v>
      </c>
      <c r="N22" s="27">
        <v>1018</v>
      </c>
      <c r="O22">
        <v>366</v>
      </c>
      <c r="P22">
        <v>256</v>
      </c>
    </row>
    <row r="23" spans="1:16" x14ac:dyDescent="0.4">
      <c r="A23" t="s">
        <v>40</v>
      </c>
      <c r="B23">
        <v>0</v>
      </c>
      <c r="C23" s="26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6" x14ac:dyDescent="0.4">
      <c r="A24" t="s">
        <v>41</v>
      </c>
      <c r="B24">
        <v>0</v>
      </c>
      <c r="C24" s="26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6" x14ac:dyDescent="0.4">
      <c r="A25" t="s">
        <v>42</v>
      </c>
      <c r="B25" t="s">
        <v>39</v>
      </c>
      <c r="C25">
        <v>22</v>
      </c>
      <c r="D25" s="26">
        <v>109</v>
      </c>
      <c r="E25">
        <v>34</v>
      </c>
      <c r="F25">
        <v>483</v>
      </c>
      <c r="G25">
        <v>-12</v>
      </c>
      <c r="H25">
        <v>-374</v>
      </c>
      <c r="I25">
        <v>677</v>
      </c>
      <c r="J25" s="27">
        <v>11456</v>
      </c>
      <c r="K25">
        <v>106</v>
      </c>
      <c r="L25">
        <v>883</v>
      </c>
      <c r="M25">
        <v>571</v>
      </c>
      <c r="N25" s="27">
        <v>10573</v>
      </c>
    </row>
    <row r="26" spans="1:16" x14ac:dyDescent="0.4">
      <c r="A26" t="s">
        <v>40</v>
      </c>
      <c r="B26">
        <v>0</v>
      </c>
      <c r="C26" s="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6" x14ac:dyDescent="0.4">
      <c r="A27" t="s">
        <v>41</v>
      </c>
      <c r="B27">
        <v>0</v>
      </c>
      <c r="C27" s="26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6" x14ac:dyDescent="0.4">
      <c r="A28">
        <v>5</v>
      </c>
      <c r="B28" t="s">
        <v>46</v>
      </c>
      <c r="C28" t="s">
        <v>38</v>
      </c>
      <c r="D28" t="s">
        <v>39</v>
      </c>
      <c r="E28">
        <v>22</v>
      </c>
      <c r="F28" s="26">
        <v>2</v>
      </c>
      <c r="G28">
        <v>16</v>
      </c>
      <c r="H28">
        <v>2</v>
      </c>
      <c r="I28">
        <v>6</v>
      </c>
      <c r="J28">
        <v>1</v>
      </c>
      <c r="K28">
        <v>53</v>
      </c>
      <c r="L28">
        <v>92</v>
      </c>
      <c r="M28">
        <v>24</v>
      </c>
      <c r="N28">
        <v>31</v>
      </c>
      <c r="O28">
        <v>29</v>
      </c>
      <c r="P28">
        <v>61</v>
      </c>
    </row>
    <row r="29" spans="1:16" x14ac:dyDescent="0.4">
      <c r="A29" t="s">
        <v>40</v>
      </c>
      <c r="B29">
        <v>0</v>
      </c>
      <c r="C29" s="26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6" x14ac:dyDescent="0.4">
      <c r="A30" t="s">
        <v>41</v>
      </c>
      <c r="B30">
        <v>0</v>
      </c>
      <c r="C30" s="26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6" x14ac:dyDescent="0.4">
      <c r="A31" t="s">
        <v>42</v>
      </c>
      <c r="B31" t="s">
        <v>39</v>
      </c>
      <c r="C31">
        <v>0</v>
      </c>
      <c r="D31" s="26">
        <v>0</v>
      </c>
      <c r="E31">
        <v>0</v>
      </c>
      <c r="F31">
        <v>0</v>
      </c>
      <c r="G31">
        <v>0</v>
      </c>
      <c r="H31">
        <v>0</v>
      </c>
      <c r="I31">
        <v>6</v>
      </c>
      <c r="J31">
        <v>19</v>
      </c>
      <c r="K31">
        <v>0</v>
      </c>
      <c r="L31">
        <v>0</v>
      </c>
      <c r="M31">
        <v>6</v>
      </c>
      <c r="N31">
        <v>19</v>
      </c>
    </row>
    <row r="32" spans="1:16" x14ac:dyDescent="0.4">
      <c r="A32" t="s">
        <v>40</v>
      </c>
      <c r="B32">
        <v>0</v>
      </c>
      <c r="C32" s="26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4">
      <c r="A33" t="s">
        <v>41</v>
      </c>
      <c r="B33">
        <v>0</v>
      </c>
      <c r="C33" s="26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3A6C8-336C-41EA-9075-E5DAF3361140}">
  <sheetPr codeName="工作表4"/>
  <dimension ref="A1:P33"/>
  <sheetViews>
    <sheetView workbookViewId="0">
      <selection activeCell="B6" sqref="B6"/>
    </sheetView>
  </sheetViews>
  <sheetFormatPr defaultRowHeight="17" x14ac:dyDescent="0.4"/>
  <cols>
    <col min="2" max="2" width="21.81640625" bestFit="1" customWidth="1"/>
    <col min="3" max="3" width="12.36328125" bestFit="1" customWidth="1"/>
    <col min="5" max="5" width="7.81640625" bestFit="1" customWidth="1"/>
    <col min="6" max="6" width="10" bestFit="1" customWidth="1"/>
  </cols>
  <sheetData>
    <row r="1" spans="1:16" x14ac:dyDescent="0.4">
      <c r="B1" t="s">
        <v>30</v>
      </c>
      <c r="C1" t="s">
        <v>31</v>
      </c>
    </row>
    <row r="2" spans="1:16" x14ac:dyDescent="0.4">
      <c r="A2" t="s">
        <v>32</v>
      </c>
      <c r="B2" t="s">
        <v>33</v>
      </c>
      <c r="C2" t="s">
        <v>34</v>
      </c>
      <c r="D2" t="s">
        <v>32</v>
      </c>
      <c r="E2" t="s">
        <v>33</v>
      </c>
      <c r="F2" t="s">
        <v>34</v>
      </c>
    </row>
    <row r="3" spans="1:16" ht="34" x14ac:dyDescent="0.4">
      <c r="A3" s="26" t="s">
        <v>232</v>
      </c>
      <c r="B3" s="26" t="s">
        <v>233</v>
      </c>
      <c r="C3" s="26" t="s">
        <v>238</v>
      </c>
      <c r="D3" t="s">
        <v>35</v>
      </c>
      <c r="E3" t="s">
        <v>36</v>
      </c>
      <c r="F3" s="26" t="s">
        <v>234</v>
      </c>
      <c r="G3" t="s">
        <v>36</v>
      </c>
      <c r="H3" s="26" t="s">
        <v>234</v>
      </c>
      <c r="I3" t="s">
        <v>36</v>
      </c>
      <c r="J3" s="26" t="s">
        <v>234</v>
      </c>
      <c r="K3" t="s">
        <v>36</v>
      </c>
      <c r="L3" s="26" t="s">
        <v>234</v>
      </c>
      <c r="M3" t="s">
        <v>36</v>
      </c>
      <c r="N3" s="26" t="s">
        <v>234</v>
      </c>
      <c r="O3" t="s">
        <v>36</v>
      </c>
      <c r="P3" s="26" t="s">
        <v>234</v>
      </c>
    </row>
    <row r="4" spans="1:16" x14ac:dyDescent="0.4">
      <c r="A4">
        <v>1</v>
      </c>
      <c r="B4" t="s">
        <v>37</v>
      </c>
      <c r="C4" t="s">
        <v>38</v>
      </c>
      <c r="D4" t="s">
        <v>39</v>
      </c>
      <c r="E4" s="27">
        <v>90745</v>
      </c>
      <c r="F4" s="90">
        <v>208710</v>
      </c>
      <c r="G4" s="27">
        <v>91072</v>
      </c>
      <c r="H4" s="27">
        <v>212398</v>
      </c>
      <c r="I4" s="27">
        <v>-327</v>
      </c>
      <c r="J4" s="27">
        <v>-3689</v>
      </c>
      <c r="K4" s="27">
        <v>68895</v>
      </c>
      <c r="L4" s="27">
        <v>336614</v>
      </c>
      <c r="M4" s="27">
        <v>73881</v>
      </c>
      <c r="N4" s="27">
        <v>169091</v>
      </c>
      <c r="O4" s="27">
        <v>-4986</v>
      </c>
      <c r="P4" s="27">
        <v>167523</v>
      </c>
    </row>
    <row r="5" spans="1:16" x14ac:dyDescent="0.4">
      <c r="A5" t="s">
        <v>40</v>
      </c>
      <c r="B5">
        <v>0</v>
      </c>
      <c r="C5" s="26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6" x14ac:dyDescent="0.4">
      <c r="A6" t="s">
        <v>41</v>
      </c>
      <c r="B6" s="27">
        <v>67518</v>
      </c>
      <c r="C6" s="91">
        <v>274278</v>
      </c>
      <c r="D6" s="27">
        <v>61453</v>
      </c>
      <c r="E6" s="27">
        <v>263985</v>
      </c>
      <c r="F6" s="27">
        <v>6065</v>
      </c>
      <c r="G6" s="27">
        <v>10293</v>
      </c>
      <c r="H6" s="27">
        <v>55616</v>
      </c>
      <c r="I6" s="27">
        <v>185133</v>
      </c>
      <c r="J6" s="27">
        <v>34705</v>
      </c>
      <c r="K6" s="27">
        <v>270852</v>
      </c>
      <c r="L6" s="27">
        <v>20911</v>
      </c>
      <c r="M6" s="27">
        <v>-85719</v>
      </c>
    </row>
    <row r="7" spans="1:16" x14ac:dyDescent="0.4">
      <c r="A7" t="s">
        <v>42</v>
      </c>
      <c r="B7" t="s">
        <v>39</v>
      </c>
      <c r="C7" s="27">
        <v>81906</v>
      </c>
      <c r="D7" s="91">
        <v>172383</v>
      </c>
      <c r="E7" s="27">
        <v>84066</v>
      </c>
      <c r="F7" s="27">
        <v>172985</v>
      </c>
      <c r="G7" s="27">
        <v>-2160</v>
      </c>
      <c r="H7" s="27">
        <v>-602</v>
      </c>
      <c r="I7" s="27">
        <v>53767</v>
      </c>
      <c r="J7" s="27">
        <v>336493</v>
      </c>
      <c r="K7" s="27">
        <v>59921</v>
      </c>
      <c r="L7" s="27">
        <v>282272</v>
      </c>
      <c r="M7" s="27">
        <v>-6154</v>
      </c>
      <c r="N7" s="27">
        <v>54221</v>
      </c>
    </row>
    <row r="8" spans="1:16" x14ac:dyDescent="0.4">
      <c r="A8" t="s">
        <v>40</v>
      </c>
      <c r="B8">
        <v>1</v>
      </c>
      <c r="C8" s="26">
        <v>0</v>
      </c>
      <c r="D8">
        <v>1</v>
      </c>
      <c r="E8">
        <v>12</v>
      </c>
      <c r="F8">
        <v>0</v>
      </c>
      <c r="G8">
        <v>-11</v>
      </c>
      <c r="H8">
        <v>0</v>
      </c>
      <c r="I8">
        <v>0</v>
      </c>
      <c r="J8">
        <v>60</v>
      </c>
      <c r="K8" s="27">
        <v>1706</v>
      </c>
      <c r="L8">
        <v>-60</v>
      </c>
      <c r="M8" s="27">
        <v>-1706</v>
      </c>
    </row>
    <row r="9" spans="1:16" x14ac:dyDescent="0.4">
      <c r="A9" t="s">
        <v>41</v>
      </c>
      <c r="B9" s="27">
        <v>62408</v>
      </c>
      <c r="C9" s="91">
        <v>253644</v>
      </c>
      <c r="D9" s="27">
        <v>60782</v>
      </c>
      <c r="E9" s="27">
        <v>252835</v>
      </c>
      <c r="F9" s="27">
        <v>1626</v>
      </c>
      <c r="G9" s="27">
        <v>809</v>
      </c>
      <c r="H9" s="27">
        <v>107559</v>
      </c>
      <c r="I9" s="27">
        <v>744030</v>
      </c>
      <c r="J9" s="27">
        <v>65771</v>
      </c>
      <c r="K9" s="27">
        <v>832781</v>
      </c>
      <c r="L9" s="27">
        <v>41788</v>
      </c>
      <c r="M9" s="27">
        <v>-88751</v>
      </c>
    </row>
    <row r="10" spans="1:16" x14ac:dyDescent="0.4">
      <c r="A10">
        <v>2</v>
      </c>
      <c r="B10" t="s">
        <v>43</v>
      </c>
      <c r="C10" t="s">
        <v>38</v>
      </c>
      <c r="D10" t="s">
        <v>39</v>
      </c>
      <c r="E10">
        <v>163</v>
      </c>
      <c r="F10" s="91">
        <v>643</v>
      </c>
      <c r="G10">
        <v>145</v>
      </c>
      <c r="H10" s="27">
        <v>551</v>
      </c>
      <c r="I10">
        <v>18</v>
      </c>
      <c r="J10">
        <v>92</v>
      </c>
      <c r="K10" s="27">
        <v>1374</v>
      </c>
      <c r="L10" s="27">
        <v>4940</v>
      </c>
      <c r="M10" s="27">
        <v>1473</v>
      </c>
      <c r="N10" s="27">
        <v>4361</v>
      </c>
      <c r="O10">
        <v>-99</v>
      </c>
      <c r="P10" s="27">
        <v>579</v>
      </c>
    </row>
    <row r="11" spans="1:16" x14ac:dyDescent="0.4">
      <c r="A11" t="s">
        <v>40</v>
      </c>
      <c r="B11">
        <v>0</v>
      </c>
      <c r="C11" s="26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</row>
    <row r="12" spans="1:16" x14ac:dyDescent="0.4">
      <c r="A12" t="s">
        <v>41</v>
      </c>
      <c r="B12">
        <v>0</v>
      </c>
      <c r="C12" s="26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</row>
    <row r="13" spans="1:16" x14ac:dyDescent="0.4">
      <c r="A13" t="s">
        <v>42</v>
      </c>
      <c r="B13" t="s">
        <v>39</v>
      </c>
      <c r="C13">
        <v>146</v>
      </c>
      <c r="D13" s="91">
        <v>458</v>
      </c>
      <c r="E13">
        <v>152</v>
      </c>
      <c r="F13" s="27">
        <v>413</v>
      </c>
      <c r="G13">
        <v>-6</v>
      </c>
      <c r="H13">
        <v>45</v>
      </c>
      <c r="I13" s="27">
        <v>1022</v>
      </c>
      <c r="J13" s="27">
        <v>4705</v>
      </c>
      <c r="K13">
        <v>952</v>
      </c>
      <c r="L13" s="27">
        <v>4098</v>
      </c>
      <c r="M13">
        <v>70</v>
      </c>
      <c r="N13" s="27">
        <v>607</v>
      </c>
    </row>
    <row r="14" spans="1:16" x14ac:dyDescent="0.4">
      <c r="A14" t="s">
        <v>40</v>
      </c>
      <c r="B14">
        <v>0</v>
      </c>
      <c r="C14" s="26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</row>
    <row r="15" spans="1:16" x14ac:dyDescent="0.4">
      <c r="A15" t="s">
        <v>41</v>
      </c>
      <c r="B15">
        <v>0</v>
      </c>
      <c r="C15" s="26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</row>
    <row r="16" spans="1:16" x14ac:dyDescent="0.4">
      <c r="A16">
        <v>3</v>
      </c>
      <c r="B16" t="s">
        <v>44</v>
      </c>
      <c r="C16" t="s">
        <v>38</v>
      </c>
      <c r="D16" t="s">
        <v>39</v>
      </c>
      <c r="E16">
        <v>154</v>
      </c>
      <c r="F16" s="26">
        <v>313</v>
      </c>
      <c r="G16">
        <v>224</v>
      </c>
      <c r="H16">
        <v>368</v>
      </c>
      <c r="I16">
        <v>-70</v>
      </c>
      <c r="J16">
        <v>-55</v>
      </c>
      <c r="K16" s="27">
        <v>1969</v>
      </c>
      <c r="L16" s="27">
        <v>14105</v>
      </c>
      <c r="M16" s="27">
        <v>1649</v>
      </c>
      <c r="N16" s="27">
        <v>8059</v>
      </c>
      <c r="O16">
        <v>320</v>
      </c>
      <c r="P16" s="27">
        <v>6046</v>
      </c>
    </row>
    <row r="17" spans="1:16" x14ac:dyDescent="0.4">
      <c r="A17" t="s">
        <v>40</v>
      </c>
      <c r="B17">
        <v>0</v>
      </c>
      <c r="C17" s="26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6" x14ac:dyDescent="0.4">
      <c r="A18" t="s">
        <v>41</v>
      </c>
      <c r="B18">
        <v>0</v>
      </c>
      <c r="C18" s="26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6" x14ac:dyDescent="0.4">
      <c r="A19" t="s">
        <v>42</v>
      </c>
      <c r="B19" t="s">
        <v>39</v>
      </c>
      <c r="C19">
        <v>172</v>
      </c>
      <c r="D19" s="26">
        <v>247</v>
      </c>
      <c r="E19">
        <v>182</v>
      </c>
      <c r="F19">
        <v>288</v>
      </c>
      <c r="G19">
        <v>-10</v>
      </c>
      <c r="H19">
        <v>-42</v>
      </c>
      <c r="I19" s="27">
        <v>1525</v>
      </c>
      <c r="J19" s="27">
        <v>810</v>
      </c>
      <c r="K19" s="27">
        <v>1018</v>
      </c>
      <c r="L19" s="27">
        <v>305</v>
      </c>
      <c r="M19">
        <v>507</v>
      </c>
      <c r="N19" s="27">
        <v>505</v>
      </c>
    </row>
    <row r="20" spans="1:16" x14ac:dyDescent="0.4">
      <c r="A20" t="s">
        <v>40</v>
      </c>
      <c r="B20">
        <v>0</v>
      </c>
      <c r="C20" s="26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6" x14ac:dyDescent="0.4">
      <c r="A21" t="s">
        <v>41</v>
      </c>
      <c r="B21">
        <v>0</v>
      </c>
      <c r="C21" s="26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6" x14ac:dyDescent="0.4">
      <c r="A22">
        <v>4</v>
      </c>
      <c r="B22" t="s">
        <v>45</v>
      </c>
      <c r="C22" t="s">
        <v>38</v>
      </c>
      <c r="D22" t="s">
        <v>39</v>
      </c>
      <c r="E22">
        <v>92</v>
      </c>
      <c r="F22" s="26">
        <v>768</v>
      </c>
      <c r="G22">
        <v>51</v>
      </c>
      <c r="H22" s="27">
        <v>721</v>
      </c>
      <c r="I22">
        <v>41</v>
      </c>
      <c r="J22">
        <v>47</v>
      </c>
      <c r="K22" s="27">
        <v>1100</v>
      </c>
      <c r="L22" s="27">
        <v>6502</v>
      </c>
      <c r="M22">
        <v>660</v>
      </c>
      <c r="N22" s="27">
        <v>5780</v>
      </c>
      <c r="O22">
        <v>440</v>
      </c>
      <c r="P22" s="27">
        <v>722</v>
      </c>
    </row>
    <row r="23" spans="1:16" x14ac:dyDescent="0.4">
      <c r="A23" t="s">
        <v>40</v>
      </c>
      <c r="B23">
        <v>0</v>
      </c>
      <c r="C23" s="26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6" x14ac:dyDescent="0.4">
      <c r="A24" t="s">
        <v>41</v>
      </c>
      <c r="B24">
        <v>0</v>
      </c>
      <c r="C24" s="26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</row>
    <row r="25" spans="1:16" x14ac:dyDescent="0.4">
      <c r="A25" t="s">
        <v>42</v>
      </c>
      <c r="B25" t="s">
        <v>39</v>
      </c>
      <c r="C25">
        <v>67</v>
      </c>
      <c r="D25" s="91">
        <v>142</v>
      </c>
      <c r="E25">
        <v>21</v>
      </c>
      <c r="F25">
        <v>57</v>
      </c>
      <c r="G25">
        <v>46</v>
      </c>
      <c r="H25">
        <v>85</v>
      </c>
      <c r="I25">
        <v>848</v>
      </c>
      <c r="J25" s="27">
        <v>5868</v>
      </c>
      <c r="K25">
        <v>148</v>
      </c>
      <c r="L25">
        <v>374</v>
      </c>
      <c r="M25">
        <v>700</v>
      </c>
      <c r="N25" s="27">
        <v>5494</v>
      </c>
    </row>
    <row r="26" spans="1:16" x14ac:dyDescent="0.4">
      <c r="A26" t="s">
        <v>40</v>
      </c>
      <c r="B26">
        <v>0</v>
      </c>
      <c r="C26" s="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</row>
    <row r="27" spans="1:16" x14ac:dyDescent="0.4">
      <c r="A27" t="s">
        <v>41</v>
      </c>
      <c r="B27">
        <v>0</v>
      </c>
      <c r="C27" s="26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</row>
    <row r="28" spans="1:16" x14ac:dyDescent="0.4">
      <c r="A28">
        <v>5</v>
      </c>
      <c r="B28" t="s">
        <v>46</v>
      </c>
      <c r="C28" t="s">
        <v>38</v>
      </c>
      <c r="D28" t="s">
        <v>39</v>
      </c>
      <c r="E28">
        <v>18</v>
      </c>
      <c r="F28" s="26">
        <v>2</v>
      </c>
      <c r="G28">
        <v>6</v>
      </c>
      <c r="H28">
        <v>1</v>
      </c>
      <c r="I28">
        <v>12</v>
      </c>
      <c r="J28">
        <v>1</v>
      </c>
      <c r="K28">
        <v>94</v>
      </c>
      <c r="L28">
        <v>134</v>
      </c>
      <c r="M28">
        <v>30</v>
      </c>
      <c r="N28">
        <v>39</v>
      </c>
      <c r="O28">
        <v>64</v>
      </c>
      <c r="P28">
        <v>95</v>
      </c>
    </row>
    <row r="29" spans="1:16" x14ac:dyDescent="0.4">
      <c r="A29" t="s">
        <v>40</v>
      </c>
      <c r="B29">
        <v>0</v>
      </c>
      <c r="C29" s="26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</row>
    <row r="30" spans="1:16" x14ac:dyDescent="0.4">
      <c r="A30" t="s">
        <v>41</v>
      </c>
      <c r="B30">
        <v>0</v>
      </c>
      <c r="C30" s="26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</row>
    <row r="31" spans="1:16" x14ac:dyDescent="0.4">
      <c r="A31" t="s">
        <v>42</v>
      </c>
      <c r="B31" t="s">
        <v>39</v>
      </c>
      <c r="C31">
        <v>22</v>
      </c>
      <c r="D31" s="26">
        <v>2</v>
      </c>
      <c r="E31">
        <v>0</v>
      </c>
      <c r="F31">
        <v>0</v>
      </c>
      <c r="G31">
        <v>22</v>
      </c>
      <c r="H31">
        <v>2</v>
      </c>
      <c r="I31">
        <v>46</v>
      </c>
      <c r="J31">
        <v>16</v>
      </c>
      <c r="K31">
        <v>0</v>
      </c>
      <c r="L31">
        <v>0</v>
      </c>
      <c r="M31">
        <v>46</v>
      </c>
      <c r="N31">
        <v>16</v>
      </c>
    </row>
    <row r="32" spans="1:16" x14ac:dyDescent="0.4">
      <c r="A32" t="s">
        <v>40</v>
      </c>
      <c r="B32">
        <v>0</v>
      </c>
      <c r="C32" s="26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 x14ac:dyDescent="0.4">
      <c r="A33" t="s">
        <v>41</v>
      </c>
      <c r="B33">
        <v>0</v>
      </c>
      <c r="C33" s="26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6AA0A-7B36-43D6-9F39-C0B4A4D3651F}">
  <sheetPr codeName="工作表6"/>
  <dimension ref="A1:S719"/>
  <sheetViews>
    <sheetView topLeftCell="A91" workbookViewId="0">
      <selection activeCell="B101" sqref="B101"/>
    </sheetView>
  </sheetViews>
  <sheetFormatPr defaultRowHeight="17" x14ac:dyDescent="0.4"/>
  <cols>
    <col min="2" max="2" width="10.1796875" bestFit="1" customWidth="1"/>
    <col min="14" max="14" width="14.7265625" bestFit="1" customWidth="1"/>
    <col min="16" max="17" width="12.36328125" bestFit="1" customWidth="1"/>
  </cols>
  <sheetData>
    <row r="1" spans="1:19" ht="51" x14ac:dyDescent="0.4">
      <c r="A1" s="26" t="s">
        <v>48</v>
      </c>
      <c r="B1" s="26" t="s">
        <v>236</v>
      </c>
      <c r="C1" s="26" t="s">
        <v>49</v>
      </c>
      <c r="D1" s="26" t="s">
        <v>50</v>
      </c>
      <c r="E1" s="26" t="s">
        <v>51</v>
      </c>
      <c r="F1" t="s">
        <v>52</v>
      </c>
      <c r="G1" t="s">
        <v>53</v>
      </c>
      <c r="H1" s="26" t="s">
        <v>237</v>
      </c>
      <c r="I1" t="s">
        <v>54</v>
      </c>
      <c r="J1" t="s">
        <v>55</v>
      </c>
      <c r="K1" t="s">
        <v>56</v>
      </c>
      <c r="L1" t="s">
        <v>240</v>
      </c>
      <c r="M1" s="26" t="s">
        <v>241</v>
      </c>
      <c r="N1" t="s">
        <v>242</v>
      </c>
      <c r="O1" t="s">
        <v>170</v>
      </c>
      <c r="P1" t="s">
        <v>58</v>
      </c>
      <c r="Q1" t="s">
        <v>59</v>
      </c>
      <c r="R1" t="s">
        <v>60</v>
      </c>
      <c r="S1" t="s">
        <v>61</v>
      </c>
    </row>
    <row r="2" spans="1:19" x14ac:dyDescent="0.4">
      <c r="A2" s="26" t="s">
        <v>67</v>
      </c>
      <c r="B2" t="s">
        <v>553</v>
      </c>
      <c r="C2">
        <v>14700</v>
      </c>
      <c r="D2" t="s">
        <v>62</v>
      </c>
      <c r="E2" t="s">
        <v>63</v>
      </c>
      <c r="F2" t="s">
        <v>63</v>
      </c>
      <c r="G2" t="s">
        <v>63</v>
      </c>
      <c r="H2" t="s">
        <v>63</v>
      </c>
      <c r="I2" t="s">
        <v>63</v>
      </c>
      <c r="J2" t="s">
        <v>68</v>
      </c>
      <c r="K2" t="s">
        <v>68</v>
      </c>
      <c r="L2">
        <v>0</v>
      </c>
      <c r="M2">
        <v>0</v>
      </c>
      <c r="N2">
        <v>0</v>
      </c>
      <c r="O2">
        <v>0</v>
      </c>
      <c r="P2">
        <v>1530</v>
      </c>
      <c r="Q2">
        <v>1870</v>
      </c>
      <c r="R2" t="s">
        <v>63</v>
      </c>
      <c r="S2" t="s">
        <v>63</v>
      </c>
    </row>
    <row r="3" spans="1:19" x14ac:dyDescent="0.4">
      <c r="A3" t="s">
        <v>67</v>
      </c>
      <c r="B3" t="s">
        <v>553</v>
      </c>
      <c r="C3">
        <v>14700</v>
      </c>
      <c r="D3" t="s">
        <v>64</v>
      </c>
      <c r="E3" t="s">
        <v>63</v>
      </c>
      <c r="F3" t="s">
        <v>63</v>
      </c>
      <c r="G3" t="s">
        <v>63</v>
      </c>
      <c r="H3" t="s">
        <v>63</v>
      </c>
      <c r="I3" t="s">
        <v>63</v>
      </c>
      <c r="J3" t="s">
        <v>68</v>
      </c>
      <c r="K3" t="s">
        <v>68</v>
      </c>
      <c r="L3">
        <v>40</v>
      </c>
      <c r="M3">
        <v>0</v>
      </c>
      <c r="N3">
        <v>40</v>
      </c>
      <c r="O3">
        <v>498</v>
      </c>
      <c r="P3" t="s">
        <v>63</v>
      </c>
      <c r="Q3">
        <v>0.3</v>
      </c>
      <c r="R3">
        <v>2.2000000000000002</v>
      </c>
      <c r="S3">
        <v>0.2</v>
      </c>
    </row>
    <row r="4" spans="1:19" x14ac:dyDescent="0.4">
      <c r="A4" t="s">
        <v>67</v>
      </c>
      <c r="B4" t="s">
        <v>553</v>
      </c>
      <c r="C4">
        <v>14800</v>
      </c>
      <c r="D4" t="s">
        <v>62</v>
      </c>
      <c r="E4" t="s">
        <v>63</v>
      </c>
      <c r="F4" t="s">
        <v>63</v>
      </c>
      <c r="G4" t="s">
        <v>63</v>
      </c>
      <c r="H4" t="s">
        <v>63</v>
      </c>
      <c r="I4" t="s">
        <v>63</v>
      </c>
      <c r="J4" t="s">
        <v>68</v>
      </c>
      <c r="K4" t="s">
        <v>68</v>
      </c>
      <c r="L4">
        <v>0</v>
      </c>
      <c r="M4">
        <v>0</v>
      </c>
      <c r="N4">
        <v>0</v>
      </c>
      <c r="O4">
        <v>0</v>
      </c>
      <c r="P4">
        <v>1430</v>
      </c>
      <c r="Q4">
        <v>1770</v>
      </c>
      <c r="R4" t="s">
        <v>63</v>
      </c>
      <c r="S4" t="s">
        <v>63</v>
      </c>
    </row>
    <row r="5" spans="1:19" x14ac:dyDescent="0.4">
      <c r="A5" t="s">
        <v>67</v>
      </c>
      <c r="B5" t="s">
        <v>553</v>
      </c>
      <c r="C5">
        <v>14800</v>
      </c>
      <c r="D5" t="s">
        <v>64</v>
      </c>
      <c r="E5">
        <v>0.3</v>
      </c>
      <c r="F5">
        <v>0.3</v>
      </c>
      <c r="G5">
        <v>0.1</v>
      </c>
      <c r="H5">
        <v>0.1</v>
      </c>
      <c r="I5" t="s">
        <v>63</v>
      </c>
      <c r="J5" t="s">
        <v>105</v>
      </c>
      <c r="K5" t="s">
        <v>411</v>
      </c>
      <c r="L5">
        <v>21</v>
      </c>
      <c r="M5">
        <v>110</v>
      </c>
      <c r="N5">
        <v>131</v>
      </c>
      <c r="O5">
        <v>1265</v>
      </c>
      <c r="P5" t="s">
        <v>63</v>
      </c>
      <c r="Q5">
        <v>0.6</v>
      </c>
      <c r="R5">
        <v>7.5</v>
      </c>
      <c r="S5">
        <v>0.1</v>
      </c>
    </row>
    <row r="6" spans="1:19" x14ac:dyDescent="0.4">
      <c r="A6" t="s">
        <v>67</v>
      </c>
      <c r="B6" t="s">
        <v>553</v>
      </c>
      <c r="C6">
        <v>14900</v>
      </c>
      <c r="D6" t="s">
        <v>62</v>
      </c>
      <c r="E6" t="s">
        <v>63</v>
      </c>
      <c r="F6" t="s">
        <v>63</v>
      </c>
      <c r="G6" t="s">
        <v>63</v>
      </c>
      <c r="H6" t="s">
        <v>63</v>
      </c>
      <c r="I6" t="s">
        <v>63</v>
      </c>
      <c r="J6" t="s">
        <v>68</v>
      </c>
      <c r="K6" t="s">
        <v>68</v>
      </c>
      <c r="L6">
        <v>0</v>
      </c>
      <c r="M6">
        <v>0</v>
      </c>
      <c r="N6">
        <v>0</v>
      </c>
      <c r="O6">
        <v>0</v>
      </c>
      <c r="P6">
        <v>1330</v>
      </c>
      <c r="Q6">
        <v>1670</v>
      </c>
      <c r="R6" t="s">
        <v>63</v>
      </c>
      <c r="S6" t="s">
        <v>63</v>
      </c>
    </row>
    <row r="7" spans="1:19" x14ac:dyDescent="0.4">
      <c r="A7" t="s">
        <v>67</v>
      </c>
      <c r="B7" t="s">
        <v>553</v>
      </c>
      <c r="C7">
        <v>14900</v>
      </c>
      <c r="D7" t="s">
        <v>64</v>
      </c>
      <c r="E7">
        <v>0.3</v>
      </c>
      <c r="F7">
        <v>0.3</v>
      </c>
      <c r="G7">
        <v>0.1</v>
      </c>
      <c r="H7">
        <v>0.1</v>
      </c>
      <c r="I7" t="s">
        <v>63</v>
      </c>
      <c r="J7" t="s">
        <v>107</v>
      </c>
      <c r="K7" t="s">
        <v>323</v>
      </c>
      <c r="L7">
        <v>6</v>
      </c>
      <c r="M7">
        <v>24</v>
      </c>
      <c r="N7">
        <v>30</v>
      </c>
      <c r="O7">
        <v>531</v>
      </c>
      <c r="P7" t="s">
        <v>63</v>
      </c>
      <c r="Q7">
        <v>0.1</v>
      </c>
      <c r="R7">
        <v>7.6</v>
      </c>
      <c r="S7">
        <v>0.1</v>
      </c>
    </row>
    <row r="8" spans="1:19" x14ac:dyDescent="0.4">
      <c r="A8" t="s">
        <v>67</v>
      </c>
      <c r="B8" t="s">
        <v>553</v>
      </c>
      <c r="C8">
        <v>15000</v>
      </c>
      <c r="D8" t="s">
        <v>62</v>
      </c>
      <c r="E8" t="s">
        <v>63</v>
      </c>
      <c r="F8" t="s">
        <v>63</v>
      </c>
      <c r="G8" t="s">
        <v>63</v>
      </c>
      <c r="H8" t="s">
        <v>63</v>
      </c>
      <c r="I8" t="s">
        <v>63</v>
      </c>
      <c r="J8" t="s">
        <v>68</v>
      </c>
      <c r="K8" t="s">
        <v>68</v>
      </c>
      <c r="L8">
        <v>0</v>
      </c>
      <c r="M8">
        <v>0</v>
      </c>
      <c r="N8">
        <v>0</v>
      </c>
      <c r="O8">
        <v>0</v>
      </c>
      <c r="P8">
        <v>1230</v>
      </c>
      <c r="Q8">
        <v>1570</v>
      </c>
      <c r="R8" t="s">
        <v>63</v>
      </c>
      <c r="S8" t="s">
        <v>63</v>
      </c>
    </row>
    <row r="9" spans="1:19" x14ac:dyDescent="0.4">
      <c r="A9" t="s">
        <v>67</v>
      </c>
      <c r="B9" t="s">
        <v>553</v>
      </c>
      <c r="C9">
        <v>15000</v>
      </c>
      <c r="D9" t="s">
        <v>64</v>
      </c>
      <c r="E9">
        <v>0.1</v>
      </c>
      <c r="F9">
        <v>0.1</v>
      </c>
      <c r="G9">
        <v>0.1</v>
      </c>
      <c r="H9">
        <v>0.1</v>
      </c>
      <c r="I9" t="s">
        <v>63</v>
      </c>
      <c r="J9" t="s">
        <v>72</v>
      </c>
      <c r="K9" t="s">
        <v>554</v>
      </c>
      <c r="L9">
        <v>6</v>
      </c>
      <c r="M9">
        <v>6</v>
      </c>
      <c r="N9">
        <v>12</v>
      </c>
      <c r="O9">
        <v>973</v>
      </c>
      <c r="P9" t="s">
        <v>63</v>
      </c>
      <c r="Q9">
        <v>0.1</v>
      </c>
      <c r="R9">
        <v>11.5</v>
      </c>
      <c r="S9">
        <v>0.1</v>
      </c>
    </row>
    <row r="10" spans="1:19" x14ac:dyDescent="0.4">
      <c r="A10" t="s">
        <v>67</v>
      </c>
      <c r="B10" t="s">
        <v>553</v>
      </c>
      <c r="C10">
        <v>15100</v>
      </c>
      <c r="D10" t="s">
        <v>62</v>
      </c>
      <c r="E10" t="s">
        <v>63</v>
      </c>
      <c r="F10" t="s">
        <v>63</v>
      </c>
      <c r="G10" t="s">
        <v>63</v>
      </c>
      <c r="H10" t="s">
        <v>63</v>
      </c>
      <c r="I10" t="s">
        <v>63</v>
      </c>
      <c r="J10" t="s">
        <v>68</v>
      </c>
      <c r="K10" t="s">
        <v>68</v>
      </c>
      <c r="L10">
        <v>0</v>
      </c>
      <c r="M10">
        <v>0</v>
      </c>
      <c r="N10">
        <v>0</v>
      </c>
      <c r="O10">
        <v>0</v>
      </c>
      <c r="P10">
        <v>1130</v>
      </c>
      <c r="Q10">
        <v>1470</v>
      </c>
      <c r="R10" t="s">
        <v>63</v>
      </c>
      <c r="S10" t="s">
        <v>63</v>
      </c>
    </row>
    <row r="11" spans="1:19" x14ac:dyDescent="0.4">
      <c r="A11" t="s">
        <v>67</v>
      </c>
      <c r="B11" t="s">
        <v>553</v>
      </c>
      <c r="C11">
        <v>15100</v>
      </c>
      <c r="D11" t="s">
        <v>64</v>
      </c>
      <c r="E11">
        <v>0.1</v>
      </c>
      <c r="F11">
        <v>0.2</v>
      </c>
      <c r="G11">
        <v>0.1</v>
      </c>
      <c r="H11">
        <v>0.2</v>
      </c>
      <c r="I11" t="s">
        <v>63</v>
      </c>
      <c r="J11" t="s">
        <v>72</v>
      </c>
      <c r="K11" s="28" t="s">
        <v>257</v>
      </c>
      <c r="L11">
        <v>26</v>
      </c>
      <c r="M11">
        <v>19</v>
      </c>
      <c r="N11">
        <v>45</v>
      </c>
      <c r="O11">
        <v>1071</v>
      </c>
      <c r="P11" t="s">
        <v>63</v>
      </c>
      <c r="Q11">
        <v>0.5</v>
      </c>
      <c r="R11">
        <v>15</v>
      </c>
      <c r="S11">
        <v>0.1</v>
      </c>
    </row>
    <row r="12" spans="1:19" x14ac:dyDescent="0.4">
      <c r="A12" t="s">
        <v>67</v>
      </c>
      <c r="B12" t="s">
        <v>553</v>
      </c>
      <c r="C12">
        <v>15200</v>
      </c>
      <c r="D12" t="s">
        <v>62</v>
      </c>
      <c r="E12" t="s">
        <v>63</v>
      </c>
      <c r="F12" t="s">
        <v>63</v>
      </c>
      <c r="G12" t="s">
        <v>63</v>
      </c>
      <c r="H12" t="s">
        <v>63</v>
      </c>
      <c r="I12" t="s">
        <v>63</v>
      </c>
      <c r="J12" t="s">
        <v>68</v>
      </c>
      <c r="K12" t="s">
        <v>68</v>
      </c>
      <c r="L12">
        <v>0</v>
      </c>
      <c r="M12">
        <v>0</v>
      </c>
      <c r="N12">
        <v>0</v>
      </c>
      <c r="O12">
        <v>0</v>
      </c>
      <c r="P12">
        <v>1030</v>
      </c>
      <c r="Q12">
        <v>1370</v>
      </c>
      <c r="R12" t="s">
        <v>63</v>
      </c>
      <c r="S12" t="s">
        <v>63</v>
      </c>
    </row>
    <row r="13" spans="1:19" x14ac:dyDescent="0.4">
      <c r="A13" t="s">
        <v>67</v>
      </c>
      <c r="B13" t="s">
        <v>553</v>
      </c>
      <c r="C13">
        <v>15200</v>
      </c>
      <c r="D13" t="s">
        <v>64</v>
      </c>
      <c r="E13">
        <v>0.2</v>
      </c>
      <c r="F13">
        <v>0.2</v>
      </c>
      <c r="G13">
        <v>0.2</v>
      </c>
      <c r="H13">
        <v>0.2</v>
      </c>
      <c r="I13" t="s">
        <v>63</v>
      </c>
      <c r="J13" t="s">
        <v>72</v>
      </c>
      <c r="K13" t="s">
        <v>257</v>
      </c>
      <c r="L13">
        <v>156</v>
      </c>
      <c r="M13">
        <v>418</v>
      </c>
      <c r="N13">
        <v>574</v>
      </c>
      <c r="O13">
        <v>1813</v>
      </c>
      <c r="P13" t="s">
        <v>63</v>
      </c>
      <c r="Q13">
        <v>0.3</v>
      </c>
      <c r="R13">
        <v>19</v>
      </c>
      <c r="S13">
        <v>0.1</v>
      </c>
    </row>
    <row r="14" spans="1:19" x14ac:dyDescent="0.4">
      <c r="A14" t="s">
        <v>67</v>
      </c>
      <c r="B14" t="s">
        <v>553</v>
      </c>
      <c r="C14">
        <v>15300</v>
      </c>
      <c r="D14" t="s">
        <v>62</v>
      </c>
      <c r="E14" t="s">
        <v>63</v>
      </c>
      <c r="F14" t="s">
        <v>63</v>
      </c>
      <c r="G14" t="s">
        <v>63</v>
      </c>
      <c r="H14" t="s">
        <v>63</v>
      </c>
      <c r="I14" t="s">
        <v>63</v>
      </c>
      <c r="J14" t="s">
        <v>68</v>
      </c>
      <c r="K14" t="s">
        <v>68</v>
      </c>
      <c r="L14">
        <v>0</v>
      </c>
      <c r="M14">
        <v>0</v>
      </c>
      <c r="N14">
        <v>0</v>
      </c>
      <c r="O14">
        <v>0</v>
      </c>
      <c r="P14">
        <v>930</v>
      </c>
      <c r="Q14">
        <v>1270</v>
      </c>
      <c r="R14" t="s">
        <v>63</v>
      </c>
      <c r="S14" t="s">
        <v>63</v>
      </c>
    </row>
    <row r="15" spans="1:19" x14ac:dyDescent="0.4">
      <c r="A15" t="s">
        <v>67</v>
      </c>
      <c r="B15" t="s">
        <v>553</v>
      </c>
      <c r="C15">
        <v>15300</v>
      </c>
      <c r="D15" t="s">
        <v>64</v>
      </c>
      <c r="E15">
        <v>0.2</v>
      </c>
      <c r="F15">
        <v>0.3</v>
      </c>
      <c r="G15">
        <v>0.1</v>
      </c>
      <c r="H15">
        <v>0.2</v>
      </c>
      <c r="I15" t="s">
        <v>63</v>
      </c>
      <c r="J15" t="s">
        <v>72</v>
      </c>
      <c r="K15" t="s">
        <v>257</v>
      </c>
      <c r="L15">
        <v>104</v>
      </c>
      <c r="M15">
        <v>441</v>
      </c>
      <c r="N15">
        <v>545</v>
      </c>
      <c r="O15">
        <v>2977</v>
      </c>
      <c r="P15" t="s">
        <v>63</v>
      </c>
      <c r="Q15">
        <v>0.2</v>
      </c>
      <c r="R15">
        <v>24</v>
      </c>
      <c r="S15">
        <v>0.1</v>
      </c>
    </row>
    <row r="16" spans="1:19" x14ac:dyDescent="0.4">
      <c r="A16" t="s">
        <v>67</v>
      </c>
      <c r="B16" t="s">
        <v>553</v>
      </c>
      <c r="C16">
        <v>15400</v>
      </c>
      <c r="D16" t="s">
        <v>62</v>
      </c>
      <c r="E16" t="s">
        <v>63</v>
      </c>
      <c r="F16" t="s">
        <v>63</v>
      </c>
      <c r="G16" t="s">
        <v>63</v>
      </c>
      <c r="H16" t="s">
        <v>63</v>
      </c>
      <c r="I16" t="s">
        <v>63</v>
      </c>
      <c r="J16" t="s">
        <v>68</v>
      </c>
      <c r="K16" t="s">
        <v>68</v>
      </c>
      <c r="L16">
        <v>0</v>
      </c>
      <c r="M16">
        <v>0</v>
      </c>
      <c r="N16">
        <v>0</v>
      </c>
      <c r="O16">
        <v>0</v>
      </c>
      <c r="P16">
        <v>830</v>
      </c>
      <c r="Q16">
        <v>1170</v>
      </c>
      <c r="R16" t="s">
        <v>63</v>
      </c>
      <c r="S16" t="s">
        <v>63</v>
      </c>
    </row>
    <row r="17" spans="1:19" x14ac:dyDescent="0.4">
      <c r="A17" t="s">
        <v>67</v>
      </c>
      <c r="B17" t="s">
        <v>553</v>
      </c>
      <c r="C17">
        <v>15400</v>
      </c>
      <c r="D17" t="s">
        <v>64</v>
      </c>
      <c r="E17">
        <v>0.2</v>
      </c>
      <c r="F17">
        <v>0.3</v>
      </c>
      <c r="G17">
        <v>0.1</v>
      </c>
      <c r="H17">
        <v>0.2</v>
      </c>
      <c r="I17" t="s">
        <v>63</v>
      </c>
      <c r="J17" t="s">
        <v>104</v>
      </c>
      <c r="K17" t="s">
        <v>555</v>
      </c>
      <c r="L17">
        <v>66</v>
      </c>
      <c r="M17">
        <v>233</v>
      </c>
      <c r="N17">
        <v>299</v>
      </c>
      <c r="O17">
        <v>2216</v>
      </c>
      <c r="P17" t="s">
        <v>63</v>
      </c>
      <c r="Q17">
        <v>0.3</v>
      </c>
      <c r="R17">
        <v>30</v>
      </c>
      <c r="S17">
        <v>0.1</v>
      </c>
    </row>
    <row r="18" spans="1:19" x14ac:dyDescent="0.4">
      <c r="A18" t="s">
        <v>67</v>
      </c>
      <c r="B18" t="s">
        <v>553</v>
      </c>
      <c r="C18">
        <v>15500</v>
      </c>
      <c r="D18" t="s">
        <v>62</v>
      </c>
      <c r="E18" t="s">
        <v>63</v>
      </c>
      <c r="F18" t="s">
        <v>63</v>
      </c>
      <c r="G18" t="s">
        <v>63</v>
      </c>
      <c r="H18" t="s">
        <v>63</v>
      </c>
      <c r="I18" t="s">
        <v>63</v>
      </c>
      <c r="J18" t="s">
        <v>68</v>
      </c>
      <c r="K18" t="s">
        <v>68</v>
      </c>
      <c r="L18">
        <v>0</v>
      </c>
      <c r="M18">
        <v>0</v>
      </c>
      <c r="N18">
        <v>0</v>
      </c>
      <c r="O18">
        <v>0</v>
      </c>
      <c r="P18">
        <v>730</v>
      </c>
      <c r="Q18">
        <v>1070</v>
      </c>
      <c r="R18" t="s">
        <v>63</v>
      </c>
      <c r="S18" t="s">
        <v>63</v>
      </c>
    </row>
    <row r="19" spans="1:19" x14ac:dyDescent="0.4">
      <c r="A19" t="s">
        <v>67</v>
      </c>
      <c r="B19" t="s">
        <v>553</v>
      </c>
      <c r="C19">
        <v>15500</v>
      </c>
      <c r="D19" t="s">
        <v>64</v>
      </c>
      <c r="E19">
        <v>0.3</v>
      </c>
      <c r="F19">
        <v>0.4</v>
      </c>
      <c r="G19">
        <v>0.1</v>
      </c>
      <c r="H19">
        <v>0.3</v>
      </c>
      <c r="I19" t="s">
        <v>63</v>
      </c>
      <c r="J19" t="s">
        <v>120</v>
      </c>
      <c r="K19" t="s">
        <v>556</v>
      </c>
      <c r="L19">
        <v>225</v>
      </c>
      <c r="M19">
        <v>65</v>
      </c>
      <c r="N19">
        <v>290</v>
      </c>
      <c r="O19">
        <v>1956</v>
      </c>
      <c r="P19">
        <v>0.1</v>
      </c>
      <c r="Q19">
        <v>0.3</v>
      </c>
      <c r="R19">
        <v>39</v>
      </c>
      <c r="S19">
        <v>0.1</v>
      </c>
    </row>
    <row r="20" spans="1:19" x14ac:dyDescent="0.4">
      <c r="A20" t="s">
        <v>67</v>
      </c>
      <c r="B20" t="s">
        <v>553</v>
      </c>
      <c r="C20">
        <v>15600</v>
      </c>
      <c r="D20" t="s">
        <v>62</v>
      </c>
      <c r="E20" t="s">
        <v>63</v>
      </c>
      <c r="F20" t="s">
        <v>63</v>
      </c>
      <c r="G20" t="s">
        <v>63</v>
      </c>
      <c r="H20" t="s">
        <v>63</v>
      </c>
      <c r="I20" t="s">
        <v>63</v>
      </c>
      <c r="J20" t="s">
        <v>68</v>
      </c>
      <c r="K20" t="s">
        <v>68</v>
      </c>
      <c r="L20">
        <v>0</v>
      </c>
      <c r="M20">
        <v>0</v>
      </c>
      <c r="N20">
        <v>0</v>
      </c>
      <c r="O20">
        <v>1</v>
      </c>
      <c r="P20">
        <v>670</v>
      </c>
      <c r="Q20">
        <v>920</v>
      </c>
      <c r="R20">
        <v>705</v>
      </c>
      <c r="S20">
        <v>705</v>
      </c>
    </row>
    <row r="21" spans="1:19" x14ac:dyDescent="0.4">
      <c r="A21" t="s">
        <v>67</v>
      </c>
      <c r="B21" t="s">
        <v>553</v>
      </c>
      <c r="C21">
        <v>15600</v>
      </c>
      <c r="D21" t="s">
        <v>64</v>
      </c>
      <c r="E21">
        <v>0.4</v>
      </c>
      <c r="F21">
        <v>0.7</v>
      </c>
      <c r="G21">
        <v>0.1</v>
      </c>
      <c r="H21">
        <v>0.2</v>
      </c>
      <c r="I21" t="s">
        <v>63</v>
      </c>
      <c r="J21" t="s">
        <v>121</v>
      </c>
      <c r="K21" t="s">
        <v>557</v>
      </c>
      <c r="L21">
        <v>159</v>
      </c>
      <c r="M21">
        <v>463</v>
      </c>
      <c r="N21">
        <v>622</v>
      </c>
      <c r="O21">
        <v>1984</v>
      </c>
      <c r="P21">
        <v>0.2</v>
      </c>
      <c r="Q21">
        <v>0.3</v>
      </c>
      <c r="R21">
        <v>50</v>
      </c>
      <c r="S21">
        <v>0.1</v>
      </c>
    </row>
    <row r="22" spans="1:19" x14ac:dyDescent="0.4">
      <c r="A22" t="s">
        <v>67</v>
      </c>
      <c r="B22" t="s">
        <v>553</v>
      </c>
      <c r="C22">
        <v>15700</v>
      </c>
      <c r="D22" t="s">
        <v>62</v>
      </c>
      <c r="E22" t="s">
        <v>63</v>
      </c>
      <c r="F22" t="s">
        <v>63</v>
      </c>
      <c r="G22" t="s">
        <v>63</v>
      </c>
      <c r="H22" t="s">
        <v>63</v>
      </c>
      <c r="I22" t="s">
        <v>63</v>
      </c>
      <c r="J22" t="s">
        <v>68</v>
      </c>
      <c r="K22" t="s">
        <v>68</v>
      </c>
      <c r="L22">
        <v>0</v>
      </c>
      <c r="M22">
        <v>0</v>
      </c>
      <c r="N22">
        <v>0</v>
      </c>
      <c r="O22">
        <v>0</v>
      </c>
      <c r="P22">
        <v>665</v>
      </c>
      <c r="Q22">
        <v>680</v>
      </c>
      <c r="R22">
        <v>715</v>
      </c>
      <c r="S22">
        <v>675</v>
      </c>
    </row>
    <row r="23" spans="1:19" x14ac:dyDescent="0.4">
      <c r="A23" t="s">
        <v>67</v>
      </c>
      <c r="B23" t="s">
        <v>553</v>
      </c>
      <c r="C23">
        <v>15700</v>
      </c>
      <c r="D23" t="s">
        <v>64</v>
      </c>
      <c r="E23">
        <v>0.4</v>
      </c>
      <c r="F23">
        <v>0.6</v>
      </c>
      <c r="G23">
        <v>0.1</v>
      </c>
      <c r="H23">
        <v>0.3</v>
      </c>
      <c r="I23" t="s">
        <v>63</v>
      </c>
      <c r="J23" t="s">
        <v>244</v>
      </c>
      <c r="K23" t="s">
        <v>558</v>
      </c>
      <c r="L23">
        <v>321</v>
      </c>
      <c r="M23">
        <v>591</v>
      </c>
      <c r="N23">
        <v>912</v>
      </c>
      <c r="O23">
        <v>3883</v>
      </c>
      <c r="P23">
        <v>0.1</v>
      </c>
      <c r="Q23">
        <v>0.3</v>
      </c>
      <c r="R23">
        <v>64</v>
      </c>
      <c r="S23">
        <v>0.1</v>
      </c>
    </row>
    <row r="24" spans="1:19" x14ac:dyDescent="0.4">
      <c r="A24" t="s">
        <v>67</v>
      </c>
      <c r="B24" t="s">
        <v>553</v>
      </c>
      <c r="C24">
        <v>15800</v>
      </c>
      <c r="D24" t="s">
        <v>62</v>
      </c>
      <c r="E24" t="s">
        <v>63</v>
      </c>
      <c r="F24" t="s">
        <v>63</v>
      </c>
      <c r="G24" t="s">
        <v>63</v>
      </c>
      <c r="H24" t="s">
        <v>63</v>
      </c>
      <c r="I24" t="s">
        <v>63</v>
      </c>
      <c r="J24" t="s">
        <v>68</v>
      </c>
      <c r="K24" t="s">
        <v>68</v>
      </c>
      <c r="L24">
        <v>0</v>
      </c>
      <c r="M24">
        <v>0</v>
      </c>
      <c r="N24">
        <v>0</v>
      </c>
      <c r="O24">
        <v>7</v>
      </c>
      <c r="P24">
        <v>565</v>
      </c>
      <c r="Q24">
        <v>580</v>
      </c>
      <c r="R24">
        <v>995</v>
      </c>
      <c r="S24">
        <v>525</v>
      </c>
    </row>
    <row r="25" spans="1:19" x14ac:dyDescent="0.4">
      <c r="A25" t="s">
        <v>67</v>
      </c>
      <c r="B25" t="s">
        <v>553</v>
      </c>
      <c r="C25">
        <v>15800</v>
      </c>
      <c r="D25" t="s">
        <v>64</v>
      </c>
      <c r="E25">
        <v>0.7</v>
      </c>
      <c r="F25">
        <v>0.7</v>
      </c>
      <c r="G25">
        <v>0.1</v>
      </c>
      <c r="H25">
        <v>0.3</v>
      </c>
      <c r="I25" t="s">
        <v>63</v>
      </c>
      <c r="J25" t="s">
        <v>81</v>
      </c>
      <c r="K25" t="s">
        <v>559</v>
      </c>
      <c r="L25">
        <v>1013</v>
      </c>
      <c r="M25">
        <v>816</v>
      </c>
      <c r="N25">
        <v>1829</v>
      </c>
      <c r="O25">
        <v>5123</v>
      </c>
      <c r="P25">
        <v>0.1</v>
      </c>
      <c r="Q25">
        <v>0.3</v>
      </c>
      <c r="R25">
        <v>80</v>
      </c>
      <c r="S25">
        <v>0.1</v>
      </c>
    </row>
    <row r="26" spans="1:19" x14ac:dyDescent="0.4">
      <c r="A26" t="s">
        <v>67</v>
      </c>
      <c r="B26" t="s">
        <v>553</v>
      </c>
      <c r="C26">
        <v>15900</v>
      </c>
      <c r="D26" t="s">
        <v>62</v>
      </c>
      <c r="E26">
        <v>498</v>
      </c>
      <c r="F26">
        <v>498</v>
      </c>
      <c r="G26">
        <v>474</v>
      </c>
      <c r="H26">
        <v>474</v>
      </c>
      <c r="I26" t="s">
        <v>63</v>
      </c>
      <c r="J26" t="s">
        <v>560</v>
      </c>
      <c r="K26" t="s">
        <v>491</v>
      </c>
      <c r="L26">
        <v>0</v>
      </c>
      <c r="M26">
        <v>3</v>
      </c>
      <c r="N26">
        <v>3</v>
      </c>
      <c r="O26">
        <v>16</v>
      </c>
      <c r="P26">
        <v>334</v>
      </c>
      <c r="Q26">
        <v>665</v>
      </c>
      <c r="R26">
        <v>910</v>
      </c>
      <c r="S26">
        <v>439</v>
      </c>
    </row>
    <row r="27" spans="1:19" x14ac:dyDescent="0.4">
      <c r="A27" t="s">
        <v>67</v>
      </c>
      <c r="B27" t="s">
        <v>553</v>
      </c>
      <c r="C27">
        <v>15900</v>
      </c>
      <c r="D27" t="s">
        <v>64</v>
      </c>
      <c r="E27">
        <v>0.5</v>
      </c>
      <c r="F27">
        <v>0.8</v>
      </c>
      <c r="G27">
        <v>0.1</v>
      </c>
      <c r="H27">
        <v>0.1</v>
      </c>
      <c r="I27" t="s">
        <v>63</v>
      </c>
      <c r="J27" t="s">
        <v>99</v>
      </c>
      <c r="K27" t="s">
        <v>561</v>
      </c>
      <c r="L27">
        <v>1231</v>
      </c>
      <c r="M27">
        <v>1501</v>
      </c>
      <c r="N27">
        <v>2732</v>
      </c>
      <c r="O27">
        <v>4227</v>
      </c>
      <c r="P27" t="s">
        <v>63</v>
      </c>
      <c r="Q27">
        <v>0.1</v>
      </c>
      <c r="R27">
        <v>101</v>
      </c>
      <c r="S27">
        <v>0.1</v>
      </c>
    </row>
    <row r="28" spans="1:19" x14ac:dyDescent="0.4">
      <c r="A28" t="s">
        <v>67</v>
      </c>
      <c r="B28" t="s">
        <v>553</v>
      </c>
      <c r="C28">
        <v>15950</v>
      </c>
      <c r="D28" t="s">
        <v>62</v>
      </c>
      <c r="E28" t="s">
        <v>63</v>
      </c>
      <c r="F28" t="s">
        <v>63</v>
      </c>
      <c r="G28" t="s">
        <v>63</v>
      </c>
      <c r="H28" t="s">
        <v>63</v>
      </c>
      <c r="I28" t="s">
        <v>63</v>
      </c>
      <c r="J28" t="s">
        <v>68</v>
      </c>
      <c r="K28" s="28" t="s">
        <v>68</v>
      </c>
      <c r="L28">
        <v>0</v>
      </c>
      <c r="M28">
        <v>0</v>
      </c>
      <c r="N28">
        <v>0</v>
      </c>
      <c r="O28">
        <v>5</v>
      </c>
      <c r="P28">
        <v>284</v>
      </c>
      <c r="Q28">
        <v>615</v>
      </c>
      <c r="R28">
        <v>500</v>
      </c>
      <c r="S28">
        <v>438</v>
      </c>
    </row>
    <row r="29" spans="1:19" x14ac:dyDescent="0.4">
      <c r="A29" t="s">
        <v>67</v>
      </c>
      <c r="B29" t="s">
        <v>553</v>
      </c>
      <c r="C29">
        <v>15950</v>
      </c>
      <c r="D29" t="s">
        <v>64</v>
      </c>
      <c r="E29">
        <v>0.8</v>
      </c>
      <c r="F29">
        <v>0.9</v>
      </c>
      <c r="G29">
        <v>0.1</v>
      </c>
      <c r="H29">
        <v>0.2</v>
      </c>
      <c r="I29" t="s">
        <v>63</v>
      </c>
      <c r="J29" t="s">
        <v>253</v>
      </c>
      <c r="K29" t="s">
        <v>562</v>
      </c>
      <c r="L29">
        <v>616</v>
      </c>
      <c r="M29">
        <v>965</v>
      </c>
      <c r="N29">
        <v>1581</v>
      </c>
      <c r="O29">
        <v>2167</v>
      </c>
      <c r="P29" t="s">
        <v>63</v>
      </c>
      <c r="Q29">
        <v>0.2</v>
      </c>
      <c r="R29">
        <v>28</v>
      </c>
      <c r="S29">
        <v>0.1</v>
      </c>
    </row>
    <row r="30" spans="1:19" x14ac:dyDescent="0.4">
      <c r="A30" t="s">
        <v>67</v>
      </c>
      <c r="B30" t="s">
        <v>553</v>
      </c>
      <c r="C30">
        <v>16000</v>
      </c>
      <c r="D30" t="s">
        <v>62</v>
      </c>
      <c r="E30">
        <v>505</v>
      </c>
      <c r="F30">
        <v>505</v>
      </c>
      <c r="G30">
        <v>351</v>
      </c>
      <c r="H30">
        <v>351</v>
      </c>
      <c r="I30" t="s">
        <v>63</v>
      </c>
      <c r="J30" t="s">
        <v>315</v>
      </c>
      <c r="K30" t="s">
        <v>563</v>
      </c>
      <c r="L30">
        <v>5</v>
      </c>
      <c r="M30">
        <v>20</v>
      </c>
      <c r="N30">
        <v>25</v>
      </c>
      <c r="O30">
        <v>74</v>
      </c>
      <c r="P30">
        <v>368</v>
      </c>
      <c r="Q30">
        <v>372</v>
      </c>
      <c r="R30">
        <v>815</v>
      </c>
      <c r="S30">
        <v>350</v>
      </c>
    </row>
    <row r="31" spans="1:19" x14ac:dyDescent="0.4">
      <c r="A31" t="s">
        <v>67</v>
      </c>
      <c r="B31" t="s">
        <v>553</v>
      </c>
      <c r="C31">
        <v>16000</v>
      </c>
      <c r="D31" t="s">
        <v>64</v>
      </c>
      <c r="E31">
        <v>1</v>
      </c>
      <c r="F31">
        <v>1.2</v>
      </c>
      <c r="G31">
        <v>0.1</v>
      </c>
      <c r="H31">
        <v>0.2</v>
      </c>
      <c r="I31" t="s">
        <v>63</v>
      </c>
      <c r="J31" t="s">
        <v>564</v>
      </c>
      <c r="K31" t="s">
        <v>565</v>
      </c>
      <c r="L31">
        <v>5764</v>
      </c>
      <c r="M31">
        <v>2634</v>
      </c>
      <c r="N31">
        <v>8398</v>
      </c>
      <c r="O31">
        <v>8379</v>
      </c>
      <c r="P31" t="s">
        <v>63</v>
      </c>
      <c r="Q31">
        <v>0.2</v>
      </c>
      <c r="R31">
        <v>125</v>
      </c>
      <c r="S31">
        <v>0.1</v>
      </c>
    </row>
    <row r="32" spans="1:19" x14ac:dyDescent="0.4">
      <c r="A32" t="s">
        <v>67</v>
      </c>
      <c r="B32" t="s">
        <v>553</v>
      </c>
      <c r="C32">
        <v>16050</v>
      </c>
      <c r="D32" t="s">
        <v>62</v>
      </c>
      <c r="E32">
        <v>387</v>
      </c>
      <c r="F32">
        <v>387</v>
      </c>
      <c r="G32">
        <v>301</v>
      </c>
      <c r="H32">
        <v>309</v>
      </c>
      <c r="I32" t="s">
        <v>63</v>
      </c>
      <c r="J32" t="s">
        <v>566</v>
      </c>
      <c r="K32" t="s">
        <v>567</v>
      </c>
      <c r="L32">
        <v>0</v>
      </c>
      <c r="M32">
        <v>26</v>
      </c>
      <c r="N32">
        <v>26</v>
      </c>
      <c r="O32">
        <v>86</v>
      </c>
      <c r="P32">
        <v>255</v>
      </c>
      <c r="Q32">
        <v>367</v>
      </c>
      <c r="R32">
        <v>446</v>
      </c>
      <c r="S32">
        <v>285</v>
      </c>
    </row>
    <row r="33" spans="1:19" x14ac:dyDescent="0.4">
      <c r="A33" t="s">
        <v>67</v>
      </c>
      <c r="B33" t="s">
        <v>553</v>
      </c>
      <c r="C33">
        <v>16050</v>
      </c>
      <c r="D33" t="s">
        <v>64</v>
      </c>
      <c r="E33">
        <v>1.1000000000000001</v>
      </c>
      <c r="F33">
        <v>1.5</v>
      </c>
      <c r="G33">
        <v>0.1</v>
      </c>
      <c r="H33">
        <v>0.1</v>
      </c>
      <c r="I33" t="s">
        <v>63</v>
      </c>
      <c r="J33" t="s">
        <v>568</v>
      </c>
      <c r="K33" t="s">
        <v>569</v>
      </c>
      <c r="L33">
        <v>1941</v>
      </c>
      <c r="M33">
        <v>1224</v>
      </c>
      <c r="N33">
        <v>3165</v>
      </c>
      <c r="O33">
        <v>3701</v>
      </c>
      <c r="P33" t="s">
        <v>63</v>
      </c>
      <c r="Q33">
        <v>0.3</v>
      </c>
      <c r="R33">
        <v>139</v>
      </c>
      <c r="S33">
        <v>0.1</v>
      </c>
    </row>
    <row r="34" spans="1:19" x14ac:dyDescent="0.4">
      <c r="A34" t="s">
        <v>67</v>
      </c>
      <c r="B34" t="s">
        <v>553</v>
      </c>
      <c r="C34">
        <v>16100</v>
      </c>
      <c r="D34" t="s">
        <v>62</v>
      </c>
      <c r="E34">
        <v>443</v>
      </c>
      <c r="F34">
        <v>443</v>
      </c>
      <c r="G34">
        <v>246</v>
      </c>
      <c r="H34">
        <v>269</v>
      </c>
      <c r="I34" t="s">
        <v>63</v>
      </c>
      <c r="J34" t="s">
        <v>221</v>
      </c>
      <c r="K34" t="s">
        <v>570</v>
      </c>
      <c r="L34">
        <v>9</v>
      </c>
      <c r="M34">
        <v>191</v>
      </c>
      <c r="N34">
        <v>200</v>
      </c>
      <c r="O34">
        <v>134</v>
      </c>
      <c r="P34">
        <v>269</v>
      </c>
      <c r="Q34">
        <v>271</v>
      </c>
      <c r="R34">
        <v>705</v>
      </c>
      <c r="S34">
        <v>246</v>
      </c>
    </row>
    <row r="35" spans="1:19" x14ac:dyDescent="0.4">
      <c r="A35" t="s">
        <v>67</v>
      </c>
      <c r="B35" t="s">
        <v>553</v>
      </c>
      <c r="C35">
        <v>16100</v>
      </c>
      <c r="D35" t="s">
        <v>64</v>
      </c>
      <c r="E35">
        <v>1.4</v>
      </c>
      <c r="F35">
        <v>1.9</v>
      </c>
      <c r="G35">
        <v>0.1</v>
      </c>
      <c r="H35">
        <v>0.1</v>
      </c>
      <c r="I35" t="s">
        <v>63</v>
      </c>
      <c r="J35" t="s">
        <v>571</v>
      </c>
      <c r="K35" t="s">
        <v>572</v>
      </c>
      <c r="L35">
        <v>3974</v>
      </c>
      <c r="M35">
        <v>3682</v>
      </c>
      <c r="N35">
        <v>7656</v>
      </c>
      <c r="O35">
        <v>5698</v>
      </c>
      <c r="P35" t="s">
        <v>63</v>
      </c>
      <c r="Q35">
        <v>0.1</v>
      </c>
      <c r="R35">
        <v>155</v>
      </c>
      <c r="S35">
        <v>0.1</v>
      </c>
    </row>
    <row r="36" spans="1:19" x14ac:dyDescent="0.4">
      <c r="A36" t="s">
        <v>67</v>
      </c>
      <c r="B36" t="s">
        <v>553</v>
      </c>
      <c r="C36">
        <v>16150</v>
      </c>
      <c r="D36" t="s">
        <v>62</v>
      </c>
      <c r="E36">
        <v>360</v>
      </c>
      <c r="F36">
        <v>425</v>
      </c>
      <c r="G36">
        <v>190</v>
      </c>
      <c r="H36">
        <v>220</v>
      </c>
      <c r="I36" t="s">
        <v>63</v>
      </c>
      <c r="J36" t="s">
        <v>573</v>
      </c>
      <c r="K36" t="s">
        <v>574</v>
      </c>
      <c r="L36">
        <v>54</v>
      </c>
      <c r="M36">
        <v>274</v>
      </c>
      <c r="N36">
        <v>328</v>
      </c>
      <c r="O36">
        <v>107</v>
      </c>
      <c r="P36">
        <v>219</v>
      </c>
      <c r="Q36">
        <v>220</v>
      </c>
      <c r="R36">
        <v>665</v>
      </c>
      <c r="S36">
        <v>190</v>
      </c>
    </row>
    <row r="37" spans="1:19" x14ac:dyDescent="0.4">
      <c r="A37" t="s">
        <v>67</v>
      </c>
      <c r="B37" t="s">
        <v>553</v>
      </c>
      <c r="C37">
        <v>16150</v>
      </c>
      <c r="D37" t="s">
        <v>64</v>
      </c>
      <c r="E37">
        <v>3</v>
      </c>
      <c r="F37">
        <v>3</v>
      </c>
      <c r="G37">
        <v>0.1</v>
      </c>
      <c r="H37">
        <v>0.1</v>
      </c>
      <c r="I37" t="s">
        <v>63</v>
      </c>
      <c r="J37" t="s">
        <v>575</v>
      </c>
      <c r="K37" t="s">
        <v>576</v>
      </c>
      <c r="L37">
        <v>3094</v>
      </c>
      <c r="M37">
        <v>4104</v>
      </c>
      <c r="N37">
        <v>7198</v>
      </c>
      <c r="O37">
        <v>3883</v>
      </c>
      <c r="P37" t="s">
        <v>63</v>
      </c>
      <c r="Q37">
        <v>0.2</v>
      </c>
      <c r="R37">
        <v>172</v>
      </c>
      <c r="S37">
        <v>0.1</v>
      </c>
    </row>
    <row r="38" spans="1:19" x14ac:dyDescent="0.4">
      <c r="A38" t="s">
        <v>67</v>
      </c>
      <c r="B38" t="s">
        <v>553</v>
      </c>
      <c r="C38">
        <v>16200</v>
      </c>
      <c r="D38" t="s">
        <v>62</v>
      </c>
      <c r="E38">
        <v>343</v>
      </c>
      <c r="F38">
        <v>378</v>
      </c>
      <c r="G38">
        <v>139</v>
      </c>
      <c r="H38">
        <v>170</v>
      </c>
      <c r="I38" t="s">
        <v>63</v>
      </c>
      <c r="J38" t="s">
        <v>577</v>
      </c>
      <c r="K38" t="s">
        <v>578</v>
      </c>
      <c r="L38">
        <v>77</v>
      </c>
      <c r="M38">
        <v>1250</v>
      </c>
      <c r="N38">
        <v>1327</v>
      </c>
      <c r="O38">
        <v>158</v>
      </c>
      <c r="P38">
        <v>170</v>
      </c>
      <c r="Q38">
        <v>171</v>
      </c>
      <c r="R38">
        <v>620</v>
      </c>
      <c r="S38">
        <v>139</v>
      </c>
    </row>
    <row r="39" spans="1:19" x14ac:dyDescent="0.4">
      <c r="A39" t="s">
        <v>67</v>
      </c>
      <c r="B39" t="s">
        <v>553</v>
      </c>
      <c r="C39">
        <v>16200</v>
      </c>
      <c r="D39" t="s">
        <v>64</v>
      </c>
      <c r="E39">
        <v>6</v>
      </c>
      <c r="F39">
        <v>6</v>
      </c>
      <c r="G39">
        <v>0.1</v>
      </c>
      <c r="H39">
        <v>0.1</v>
      </c>
      <c r="I39" t="s">
        <v>63</v>
      </c>
      <c r="J39" t="s">
        <v>579</v>
      </c>
      <c r="K39" t="s">
        <v>580</v>
      </c>
      <c r="L39">
        <v>7084</v>
      </c>
      <c r="M39">
        <v>10545</v>
      </c>
      <c r="N39">
        <v>17629</v>
      </c>
      <c r="O39">
        <v>7226</v>
      </c>
      <c r="P39" t="s">
        <v>63</v>
      </c>
      <c r="Q39">
        <v>0.1</v>
      </c>
      <c r="R39">
        <v>192</v>
      </c>
      <c r="S39">
        <v>0.1</v>
      </c>
    </row>
    <row r="40" spans="1:19" x14ac:dyDescent="0.4">
      <c r="A40" t="s">
        <v>67</v>
      </c>
      <c r="B40" t="s">
        <v>553</v>
      </c>
      <c r="C40">
        <v>16250</v>
      </c>
      <c r="D40" t="s">
        <v>62</v>
      </c>
      <c r="E40">
        <v>297</v>
      </c>
      <c r="F40">
        <v>330</v>
      </c>
      <c r="G40">
        <v>90</v>
      </c>
      <c r="H40">
        <v>120</v>
      </c>
      <c r="I40" t="s">
        <v>63</v>
      </c>
      <c r="J40" t="s">
        <v>326</v>
      </c>
      <c r="K40" t="s">
        <v>106</v>
      </c>
      <c r="L40">
        <v>144</v>
      </c>
      <c r="M40">
        <v>3197</v>
      </c>
      <c r="N40">
        <v>3341</v>
      </c>
      <c r="O40">
        <v>294</v>
      </c>
      <c r="P40">
        <v>119</v>
      </c>
      <c r="Q40">
        <v>120</v>
      </c>
      <c r="R40">
        <v>570</v>
      </c>
      <c r="S40">
        <v>90</v>
      </c>
    </row>
    <row r="41" spans="1:19" x14ac:dyDescent="0.4">
      <c r="A41" t="s">
        <v>67</v>
      </c>
      <c r="B41" t="s">
        <v>553</v>
      </c>
      <c r="C41">
        <v>16250</v>
      </c>
      <c r="D41" t="s">
        <v>64</v>
      </c>
      <c r="E41">
        <v>9.9</v>
      </c>
      <c r="F41">
        <v>9.9</v>
      </c>
      <c r="G41">
        <v>0.1</v>
      </c>
      <c r="H41">
        <v>0.1</v>
      </c>
      <c r="I41" t="s">
        <v>63</v>
      </c>
      <c r="J41" t="s">
        <v>581</v>
      </c>
      <c r="K41" t="s">
        <v>582</v>
      </c>
      <c r="L41">
        <v>6683</v>
      </c>
      <c r="M41">
        <v>17931</v>
      </c>
      <c r="N41">
        <v>24614</v>
      </c>
      <c r="O41">
        <v>6850</v>
      </c>
      <c r="P41" t="s">
        <v>63</v>
      </c>
      <c r="Q41">
        <v>0.1</v>
      </c>
      <c r="R41">
        <v>210</v>
      </c>
      <c r="S41">
        <v>0.1</v>
      </c>
    </row>
    <row r="42" spans="1:19" x14ac:dyDescent="0.4">
      <c r="A42" t="s">
        <v>67</v>
      </c>
      <c r="B42" t="s">
        <v>553</v>
      </c>
      <c r="C42">
        <v>16300</v>
      </c>
      <c r="D42" t="s">
        <v>62</v>
      </c>
      <c r="E42">
        <v>199</v>
      </c>
      <c r="F42">
        <v>285</v>
      </c>
      <c r="G42">
        <v>49</v>
      </c>
      <c r="H42">
        <v>69</v>
      </c>
      <c r="I42" t="s">
        <v>63</v>
      </c>
      <c r="J42" t="s">
        <v>583</v>
      </c>
      <c r="K42" t="s">
        <v>584</v>
      </c>
      <c r="L42">
        <v>1382</v>
      </c>
      <c r="M42">
        <v>17970</v>
      </c>
      <c r="N42">
        <v>19352</v>
      </c>
      <c r="O42">
        <v>1588</v>
      </c>
      <c r="P42">
        <v>69</v>
      </c>
      <c r="Q42">
        <v>70</v>
      </c>
      <c r="R42">
        <v>520</v>
      </c>
      <c r="S42">
        <v>49</v>
      </c>
    </row>
    <row r="43" spans="1:19" x14ac:dyDescent="0.4">
      <c r="A43" t="s">
        <v>67</v>
      </c>
      <c r="B43" t="s">
        <v>553</v>
      </c>
      <c r="C43">
        <v>16300</v>
      </c>
      <c r="D43" t="s">
        <v>64</v>
      </c>
      <c r="E43">
        <v>13.5</v>
      </c>
      <c r="F43">
        <v>17.5</v>
      </c>
      <c r="G43">
        <v>0.1</v>
      </c>
      <c r="H43">
        <v>0.1</v>
      </c>
      <c r="I43" t="s">
        <v>63</v>
      </c>
      <c r="J43" t="s">
        <v>585</v>
      </c>
      <c r="K43" t="s">
        <v>586</v>
      </c>
      <c r="L43">
        <v>14312</v>
      </c>
      <c r="M43">
        <v>47139</v>
      </c>
      <c r="N43">
        <v>61451</v>
      </c>
      <c r="O43">
        <v>11462</v>
      </c>
      <c r="P43">
        <v>0.1</v>
      </c>
      <c r="Q43">
        <v>0.2</v>
      </c>
      <c r="R43">
        <v>235</v>
      </c>
      <c r="S43">
        <v>0.1</v>
      </c>
    </row>
    <row r="44" spans="1:19" x14ac:dyDescent="0.4">
      <c r="A44" t="s">
        <v>67</v>
      </c>
      <c r="B44" t="s">
        <v>553</v>
      </c>
      <c r="C44">
        <v>16350</v>
      </c>
      <c r="D44" t="s">
        <v>62</v>
      </c>
      <c r="E44">
        <v>166</v>
      </c>
      <c r="F44">
        <v>235</v>
      </c>
      <c r="G44">
        <v>9.8000000000000007</v>
      </c>
      <c r="H44">
        <v>20</v>
      </c>
      <c r="I44" t="s">
        <v>63</v>
      </c>
      <c r="J44" t="s">
        <v>229</v>
      </c>
      <c r="K44" t="s">
        <v>557</v>
      </c>
      <c r="L44">
        <v>2495</v>
      </c>
      <c r="M44">
        <v>53961</v>
      </c>
      <c r="N44">
        <v>56456</v>
      </c>
      <c r="O44">
        <v>4089</v>
      </c>
      <c r="P44">
        <v>19.5</v>
      </c>
      <c r="Q44">
        <v>20</v>
      </c>
      <c r="R44">
        <v>492</v>
      </c>
      <c r="S44">
        <v>9.8000000000000007</v>
      </c>
    </row>
    <row r="45" spans="1:19" x14ac:dyDescent="0.4">
      <c r="A45" t="s">
        <v>67</v>
      </c>
      <c r="B45" t="s">
        <v>553</v>
      </c>
      <c r="C45">
        <v>16350</v>
      </c>
      <c r="D45" t="s">
        <v>64</v>
      </c>
      <c r="E45">
        <v>21</v>
      </c>
      <c r="F45">
        <v>35</v>
      </c>
      <c r="G45">
        <v>0.1</v>
      </c>
      <c r="H45">
        <v>0.1</v>
      </c>
      <c r="I45" t="s">
        <v>63</v>
      </c>
      <c r="J45" t="s">
        <v>309</v>
      </c>
      <c r="K45" t="s">
        <v>587</v>
      </c>
      <c r="L45">
        <v>11527</v>
      </c>
      <c r="M45">
        <v>65197</v>
      </c>
      <c r="N45">
        <v>76724</v>
      </c>
      <c r="O45">
        <v>13731</v>
      </c>
      <c r="P45" t="s">
        <v>63</v>
      </c>
      <c r="Q45">
        <v>0.1</v>
      </c>
      <c r="R45">
        <v>261</v>
      </c>
      <c r="S45">
        <v>0.1</v>
      </c>
    </row>
    <row r="46" spans="1:19" x14ac:dyDescent="0.4">
      <c r="A46" t="s">
        <v>67</v>
      </c>
      <c r="B46" t="s">
        <v>553</v>
      </c>
      <c r="C46">
        <v>16400</v>
      </c>
      <c r="D46" t="s">
        <v>62</v>
      </c>
      <c r="E46">
        <v>108</v>
      </c>
      <c r="F46">
        <v>192</v>
      </c>
      <c r="G46">
        <v>0.1</v>
      </c>
      <c r="H46">
        <v>0.1</v>
      </c>
      <c r="I46" t="s">
        <v>63</v>
      </c>
      <c r="J46" t="s">
        <v>588</v>
      </c>
      <c r="K46" t="s">
        <v>589</v>
      </c>
      <c r="L46">
        <v>5981</v>
      </c>
      <c r="M46">
        <v>72633</v>
      </c>
      <c r="N46">
        <v>78614</v>
      </c>
      <c r="O46">
        <v>17979</v>
      </c>
      <c r="P46" t="s">
        <v>63</v>
      </c>
      <c r="Q46">
        <v>0.1</v>
      </c>
      <c r="R46">
        <v>445</v>
      </c>
      <c r="S46">
        <v>0.1</v>
      </c>
    </row>
    <row r="47" spans="1:19" x14ac:dyDescent="0.4">
      <c r="A47" t="s">
        <v>67</v>
      </c>
      <c r="B47" t="s">
        <v>553</v>
      </c>
      <c r="C47">
        <v>16400</v>
      </c>
      <c r="D47" t="s">
        <v>64</v>
      </c>
      <c r="E47">
        <v>35</v>
      </c>
      <c r="F47">
        <v>68</v>
      </c>
      <c r="G47">
        <v>6</v>
      </c>
      <c r="H47">
        <v>30.5</v>
      </c>
      <c r="I47" t="s">
        <v>63</v>
      </c>
      <c r="J47" t="s">
        <v>312</v>
      </c>
      <c r="K47" t="s">
        <v>590</v>
      </c>
      <c r="L47">
        <v>19745</v>
      </c>
      <c r="M47">
        <v>72552</v>
      </c>
      <c r="N47">
        <v>92297</v>
      </c>
      <c r="O47">
        <v>4819</v>
      </c>
      <c r="P47">
        <v>30</v>
      </c>
      <c r="Q47">
        <v>30.5</v>
      </c>
      <c r="R47">
        <v>290</v>
      </c>
      <c r="S47">
        <v>6</v>
      </c>
    </row>
    <row r="48" spans="1:19" x14ac:dyDescent="0.4">
      <c r="A48" t="s">
        <v>67</v>
      </c>
      <c r="B48" t="s">
        <v>553</v>
      </c>
      <c r="C48">
        <v>16450</v>
      </c>
      <c r="D48" t="s">
        <v>62</v>
      </c>
      <c r="E48">
        <v>69</v>
      </c>
      <c r="F48">
        <v>147</v>
      </c>
      <c r="G48">
        <v>0.1</v>
      </c>
      <c r="H48">
        <v>0.1</v>
      </c>
      <c r="I48" t="s">
        <v>63</v>
      </c>
      <c r="J48" t="s">
        <v>591</v>
      </c>
      <c r="K48" t="s">
        <v>592</v>
      </c>
      <c r="L48">
        <v>9395</v>
      </c>
      <c r="M48">
        <v>55009</v>
      </c>
      <c r="N48">
        <v>64404</v>
      </c>
      <c r="O48">
        <v>12016</v>
      </c>
      <c r="P48">
        <v>0.1</v>
      </c>
      <c r="Q48">
        <v>0.3</v>
      </c>
      <c r="R48">
        <v>406</v>
      </c>
      <c r="S48">
        <v>0.1</v>
      </c>
    </row>
    <row r="49" spans="1:19" x14ac:dyDescent="0.4">
      <c r="A49" t="s">
        <v>67</v>
      </c>
      <c r="B49" t="s">
        <v>553</v>
      </c>
      <c r="C49">
        <v>16450</v>
      </c>
      <c r="D49" t="s">
        <v>64</v>
      </c>
      <c r="E49">
        <v>47</v>
      </c>
      <c r="F49">
        <v>113</v>
      </c>
      <c r="G49">
        <v>12.5</v>
      </c>
      <c r="H49">
        <v>80</v>
      </c>
      <c r="I49" t="s">
        <v>63</v>
      </c>
      <c r="J49" t="s">
        <v>101</v>
      </c>
      <c r="K49" t="s">
        <v>71</v>
      </c>
      <c r="L49">
        <v>19233</v>
      </c>
      <c r="M49">
        <v>45544</v>
      </c>
      <c r="N49">
        <v>64777</v>
      </c>
      <c r="O49">
        <v>3549</v>
      </c>
      <c r="P49">
        <v>80</v>
      </c>
      <c r="Q49">
        <v>81</v>
      </c>
      <c r="R49">
        <v>317</v>
      </c>
      <c r="S49">
        <v>12.5</v>
      </c>
    </row>
    <row r="50" spans="1:19" x14ac:dyDescent="0.4">
      <c r="A50" t="s">
        <v>67</v>
      </c>
      <c r="B50" t="s">
        <v>553</v>
      </c>
      <c r="C50">
        <v>16500</v>
      </c>
      <c r="D50" t="s">
        <v>62</v>
      </c>
      <c r="E50">
        <v>41</v>
      </c>
      <c r="F50">
        <v>107</v>
      </c>
      <c r="G50">
        <v>0.1</v>
      </c>
      <c r="H50">
        <v>0.1</v>
      </c>
      <c r="I50" t="s">
        <v>63</v>
      </c>
      <c r="J50" t="s">
        <v>593</v>
      </c>
      <c r="K50" t="s">
        <v>594</v>
      </c>
      <c r="L50">
        <v>22043</v>
      </c>
      <c r="M50">
        <v>54291</v>
      </c>
      <c r="N50">
        <v>76334</v>
      </c>
      <c r="O50">
        <v>11535</v>
      </c>
      <c r="P50" t="s">
        <v>63</v>
      </c>
      <c r="Q50">
        <v>0.1</v>
      </c>
      <c r="R50">
        <v>363</v>
      </c>
      <c r="S50">
        <v>0.1</v>
      </c>
    </row>
    <row r="51" spans="1:19" x14ac:dyDescent="0.4">
      <c r="A51" t="s">
        <v>67</v>
      </c>
      <c r="B51" t="s">
        <v>553</v>
      </c>
      <c r="C51">
        <v>16500</v>
      </c>
      <c r="D51" t="s">
        <v>64</v>
      </c>
      <c r="E51">
        <v>61</v>
      </c>
      <c r="F51">
        <v>162</v>
      </c>
      <c r="G51">
        <v>21.5</v>
      </c>
      <c r="H51">
        <v>130</v>
      </c>
      <c r="I51" t="s">
        <v>63</v>
      </c>
      <c r="J51" t="s">
        <v>98</v>
      </c>
      <c r="K51" t="s">
        <v>595</v>
      </c>
      <c r="L51">
        <v>16124</v>
      </c>
      <c r="M51">
        <v>38419</v>
      </c>
      <c r="N51">
        <v>54543</v>
      </c>
      <c r="O51">
        <v>2962</v>
      </c>
      <c r="P51">
        <v>130</v>
      </c>
      <c r="Q51">
        <v>131</v>
      </c>
      <c r="R51">
        <v>350</v>
      </c>
      <c r="S51">
        <v>21.5</v>
      </c>
    </row>
    <row r="52" spans="1:19" x14ac:dyDescent="0.4">
      <c r="A52" t="s">
        <v>67</v>
      </c>
      <c r="B52" t="s">
        <v>553</v>
      </c>
      <c r="C52">
        <v>16550</v>
      </c>
      <c r="D52" t="s">
        <v>62</v>
      </c>
      <c r="E52">
        <v>22.5</v>
      </c>
      <c r="F52">
        <v>71</v>
      </c>
      <c r="G52">
        <v>0.1</v>
      </c>
      <c r="H52">
        <v>0.1</v>
      </c>
      <c r="I52" t="s">
        <v>63</v>
      </c>
      <c r="J52" t="s">
        <v>596</v>
      </c>
      <c r="K52" t="s">
        <v>597</v>
      </c>
      <c r="L52">
        <v>24232</v>
      </c>
      <c r="M52">
        <v>41821</v>
      </c>
      <c r="N52">
        <v>66053</v>
      </c>
      <c r="O52">
        <v>8138</v>
      </c>
      <c r="P52">
        <v>0.1</v>
      </c>
      <c r="Q52">
        <v>0.3</v>
      </c>
      <c r="R52">
        <v>320</v>
      </c>
      <c r="S52">
        <v>0.1</v>
      </c>
    </row>
    <row r="53" spans="1:19" x14ac:dyDescent="0.4">
      <c r="A53" t="s">
        <v>67</v>
      </c>
      <c r="B53" t="s">
        <v>553</v>
      </c>
      <c r="C53">
        <v>16550</v>
      </c>
      <c r="D53" t="s">
        <v>64</v>
      </c>
      <c r="E53">
        <v>99</v>
      </c>
      <c r="F53">
        <v>211</v>
      </c>
      <c r="G53">
        <v>35.5</v>
      </c>
      <c r="H53">
        <v>181</v>
      </c>
      <c r="I53" t="s">
        <v>63</v>
      </c>
      <c r="J53" t="s">
        <v>321</v>
      </c>
      <c r="K53" t="s">
        <v>598</v>
      </c>
      <c r="L53">
        <v>8967</v>
      </c>
      <c r="M53">
        <v>15182</v>
      </c>
      <c r="N53">
        <v>24149</v>
      </c>
      <c r="O53">
        <v>1356</v>
      </c>
      <c r="P53">
        <v>180</v>
      </c>
      <c r="Q53">
        <v>181</v>
      </c>
      <c r="R53">
        <v>361</v>
      </c>
      <c r="S53">
        <v>35.5</v>
      </c>
    </row>
    <row r="54" spans="1:19" x14ac:dyDescent="0.4">
      <c r="A54" t="s">
        <v>67</v>
      </c>
      <c r="B54" t="s">
        <v>553</v>
      </c>
      <c r="C54">
        <v>16600</v>
      </c>
      <c r="D54" t="s">
        <v>62</v>
      </c>
      <c r="E54">
        <v>10.5</v>
      </c>
      <c r="F54">
        <v>41</v>
      </c>
      <c r="G54">
        <v>0.1</v>
      </c>
      <c r="H54">
        <v>0.1</v>
      </c>
      <c r="I54" t="s">
        <v>63</v>
      </c>
      <c r="J54" t="s">
        <v>599</v>
      </c>
      <c r="K54" t="s">
        <v>600</v>
      </c>
      <c r="L54">
        <v>26685</v>
      </c>
      <c r="M54">
        <v>36353</v>
      </c>
      <c r="N54">
        <v>63038</v>
      </c>
      <c r="O54">
        <v>11957</v>
      </c>
      <c r="P54" t="s">
        <v>63</v>
      </c>
      <c r="Q54">
        <v>0.2</v>
      </c>
      <c r="R54">
        <v>282</v>
      </c>
      <c r="S54">
        <v>0.1</v>
      </c>
    </row>
    <row r="55" spans="1:19" x14ac:dyDescent="0.4">
      <c r="A55" t="s">
        <v>67</v>
      </c>
      <c r="B55" t="s">
        <v>553</v>
      </c>
      <c r="C55">
        <v>16600</v>
      </c>
      <c r="D55" t="s">
        <v>64</v>
      </c>
      <c r="E55">
        <v>135</v>
      </c>
      <c r="F55">
        <v>261</v>
      </c>
      <c r="G55">
        <v>53</v>
      </c>
      <c r="H55">
        <v>230</v>
      </c>
      <c r="I55" t="s">
        <v>63</v>
      </c>
      <c r="J55" t="s">
        <v>601</v>
      </c>
      <c r="K55" t="s">
        <v>602</v>
      </c>
      <c r="L55">
        <v>9940</v>
      </c>
      <c r="M55">
        <v>9747</v>
      </c>
      <c r="N55">
        <v>19687</v>
      </c>
      <c r="O55">
        <v>2281</v>
      </c>
      <c r="P55">
        <v>230</v>
      </c>
      <c r="Q55">
        <v>235</v>
      </c>
      <c r="R55">
        <v>413</v>
      </c>
      <c r="S55">
        <v>53</v>
      </c>
    </row>
    <row r="56" spans="1:19" x14ac:dyDescent="0.4">
      <c r="A56" t="s">
        <v>67</v>
      </c>
      <c r="B56" t="s">
        <v>553</v>
      </c>
      <c r="C56">
        <v>16650</v>
      </c>
      <c r="D56" t="s">
        <v>62</v>
      </c>
      <c r="E56">
        <v>3.6</v>
      </c>
      <c r="F56">
        <v>20.5</v>
      </c>
      <c r="G56">
        <v>0.1</v>
      </c>
      <c r="H56">
        <v>0.2</v>
      </c>
      <c r="I56" t="s">
        <v>63</v>
      </c>
      <c r="J56" t="s">
        <v>308</v>
      </c>
      <c r="K56" t="s">
        <v>603</v>
      </c>
      <c r="L56">
        <v>15082</v>
      </c>
      <c r="M56">
        <v>22753</v>
      </c>
      <c r="N56">
        <v>37835</v>
      </c>
      <c r="O56">
        <v>9406</v>
      </c>
      <c r="P56" t="s">
        <v>63</v>
      </c>
      <c r="Q56">
        <v>0.2</v>
      </c>
      <c r="R56">
        <v>245</v>
      </c>
      <c r="S56">
        <v>0.1</v>
      </c>
    </row>
    <row r="57" spans="1:19" x14ac:dyDescent="0.4">
      <c r="A57" t="s">
        <v>67</v>
      </c>
      <c r="B57" t="s">
        <v>553</v>
      </c>
      <c r="C57">
        <v>16650</v>
      </c>
      <c r="D57" t="s">
        <v>64</v>
      </c>
      <c r="E57">
        <v>151</v>
      </c>
      <c r="F57">
        <v>313</v>
      </c>
      <c r="G57">
        <v>81</v>
      </c>
      <c r="H57">
        <v>280</v>
      </c>
      <c r="I57" t="s">
        <v>63</v>
      </c>
      <c r="J57" t="s">
        <v>604</v>
      </c>
      <c r="K57" t="s">
        <v>605</v>
      </c>
      <c r="L57">
        <v>3089</v>
      </c>
      <c r="M57">
        <v>3637</v>
      </c>
      <c r="N57">
        <v>6726</v>
      </c>
      <c r="O57">
        <v>1642</v>
      </c>
      <c r="P57">
        <v>279</v>
      </c>
      <c r="Q57">
        <v>390</v>
      </c>
      <c r="R57">
        <v>432</v>
      </c>
      <c r="S57">
        <v>81</v>
      </c>
    </row>
    <row r="58" spans="1:19" x14ac:dyDescent="0.4">
      <c r="A58" t="s">
        <v>67</v>
      </c>
      <c r="B58" t="s">
        <v>553</v>
      </c>
      <c r="C58">
        <v>16700</v>
      </c>
      <c r="D58" t="s">
        <v>62</v>
      </c>
      <c r="E58">
        <v>2</v>
      </c>
      <c r="F58">
        <v>9.1999999999999993</v>
      </c>
      <c r="G58">
        <v>0.1</v>
      </c>
      <c r="H58">
        <v>0.1</v>
      </c>
      <c r="I58" t="s">
        <v>63</v>
      </c>
      <c r="J58" t="s">
        <v>265</v>
      </c>
      <c r="K58" t="s">
        <v>606</v>
      </c>
      <c r="L58">
        <v>10628</v>
      </c>
      <c r="M58">
        <v>12554</v>
      </c>
      <c r="N58">
        <v>23182</v>
      </c>
      <c r="O58">
        <v>9506</v>
      </c>
      <c r="P58" t="s">
        <v>63</v>
      </c>
      <c r="Q58">
        <v>0.1</v>
      </c>
      <c r="R58">
        <v>210</v>
      </c>
      <c r="S58">
        <v>0.1</v>
      </c>
    </row>
    <row r="59" spans="1:19" x14ac:dyDescent="0.4">
      <c r="A59" t="s">
        <v>67</v>
      </c>
      <c r="B59" t="s">
        <v>553</v>
      </c>
      <c r="C59">
        <v>16700</v>
      </c>
      <c r="D59" t="s">
        <v>64</v>
      </c>
      <c r="E59">
        <v>180</v>
      </c>
      <c r="F59">
        <v>359</v>
      </c>
      <c r="G59">
        <v>124</v>
      </c>
      <c r="H59">
        <v>330</v>
      </c>
      <c r="I59" t="s">
        <v>63</v>
      </c>
      <c r="J59" t="s">
        <v>607</v>
      </c>
      <c r="K59" t="s">
        <v>608</v>
      </c>
      <c r="L59">
        <v>1331</v>
      </c>
      <c r="M59">
        <v>2057</v>
      </c>
      <c r="N59">
        <v>3388</v>
      </c>
      <c r="O59">
        <v>1847</v>
      </c>
      <c r="P59">
        <v>330</v>
      </c>
      <c r="Q59">
        <v>349</v>
      </c>
      <c r="R59">
        <v>484</v>
      </c>
      <c r="S59">
        <v>98</v>
      </c>
    </row>
    <row r="60" spans="1:19" x14ac:dyDescent="0.4">
      <c r="A60" t="s">
        <v>67</v>
      </c>
      <c r="B60" t="s">
        <v>553</v>
      </c>
      <c r="C60">
        <v>16750</v>
      </c>
      <c r="D60" t="s">
        <v>62</v>
      </c>
      <c r="E60">
        <v>1.4</v>
      </c>
      <c r="F60">
        <v>3.8</v>
      </c>
      <c r="G60">
        <v>0.1</v>
      </c>
      <c r="H60">
        <v>0.2</v>
      </c>
      <c r="I60" t="s">
        <v>63</v>
      </c>
      <c r="J60" t="s">
        <v>260</v>
      </c>
      <c r="K60" t="s">
        <v>609</v>
      </c>
      <c r="L60">
        <v>5586</v>
      </c>
      <c r="M60">
        <v>5676</v>
      </c>
      <c r="N60">
        <v>11262</v>
      </c>
      <c r="O60">
        <v>7120</v>
      </c>
      <c r="P60" t="s">
        <v>63</v>
      </c>
      <c r="Q60">
        <v>0.1</v>
      </c>
      <c r="R60">
        <v>176</v>
      </c>
      <c r="S60">
        <v>0.1</v>
      </c>
    </row>
    <row r="61" spans="1:19" x14ac:dyDescent="0.4">
      <c r="A61" t="s">
        <v>67</v>
      </c>
      <c r="B61" t="s">
        <v>553</v>
      </c>
      <c r="C61">
        <v>16750</v>
      </c>
      <c r="D61" t="s">
        <v>64</v>
      </c>
      <c r="E61">
        <v>208</v>
      </c>
      <c r="F61">
        <v>400</v>
      </c>
      <c r="G61">
        <v>173</v>
      </c>
      <c r="H61">
        <v>380</v>
      </c>
      <c r="I61" t="s">
        <v>63</v>
      </c>
      <c r="J61" t="s">
        <v>607</v>
      </c>
      <c r="K61" t="s">
        <v>610</v>
      </c>
      <c r="L61">
        <v>282</v>
      </c>
      <c r="M61">
        <v>388</v>
      </c>
      <c r="N61">
        <v>670</v>
      </c>
      <c r="O61">
        <v>945</v>
      </c>
      <c r="P61">
        <v>188</v>
      </c>
      <c r="Q61">
        <v>384</v>
      </c>
      <c r="R61">
        <v>437</v>
      </c>
      <c r="S61">
        <v>114</v>
      </c>
    </row>
    <row r="62" spans="1:19" x14ac:dyDescent="0.4">
      <c r="A62" t="s">
        <v>67</v>
      </c>
      <c r="B62" t="s">
        <v>553</v>
      </c>
      <c r="C62">
        <v>16800</v>
      </c>
      <c r="D62" t="s">
        <v>62</v>
      </c>
      <c r="E62">
        <v>1</v>
      </c>
      <c r="F62">
        <v>1.8</v>
      </c>
      <c r="G62">
        <v>0.1</v>
      </c>
      <c r="H62">
        <v>0.3</v>
      </c>
      <c r="I62" t="s">
        <v>63</v>
      </c>
      <c r="J62" t="s">
        <v>244</v>
      </c>
      <c r="K62" t="s">
        <v>558</v>
      </c>
      <c r="L62">
        <v>2826</v>
      </c>
      <c r="M62">
        <v>3576</v>
      </c>
      <c r="N62">
        <v>6402</v>
      </c>
      <c r="O62">
        <v>6597</v>
      </c>
      <c r="P62" t="s">
        <v>63</v>
      </c>
      <c r="Q62">
        <v>0.3</v>
      </c>
      <c r="R62">
        <v>145</v>
      </c>
      <c r="S62">
        <v>0.1</v>
      </c>
    </row>
    <row r="63" spans="1:19" x14ac:dyDescent="0.4">
      <c r="A63" t="s">
        <v>67</v>
      </c>
      <c r="B63" t="s">
        <v>553</v>
      </c>
      <c r="C63">
        <v>16800</v>
      </c>
      <c r="D63" t="s">
        <v>64</v>
      </c>
      <c r="E63">
        <v>255</v>
      </c>
      <c r="F63">
        <v>449</v>
      </c>
      <c r="G63">
        <v>220</v>
      </c>
      <c r="H63">
        <v>431</v>
      </c>
      <c r="I63" t="s">
        <v>63</v>
      </c>
      <c r="J63" t="s">
        <v>611</v>
      </c>
      <c r="K63" t="s">
        <v>612</v>
      </c>
      <c r="L63">
        <v>182</v>
      </c>
      <c r="M63">
        <v>128</v>
      </c>
      <c r="N63">
        <v>310</v>
      </c>
      <c r="O63">
        <v>787</v>
      </c>
      <c r="P63">
        <v>431</v>
      </c>
      <c r="Q63">
        <v>432</v>
      </c>
      <c r="R63">
        <v>590</v>
      </c>
      <c r="S63">
        <v>132</v>
      </c>
    </row>
    <row r="64" spans="1:19" x14ac:dyDescent="0.4">
      <c r="A64" t="s">
        <v>67</v>
      </c>
      <c r="B64" t="s">
        <v>553</v>
      </c>
      <c r="C64">
        <v>16850</v>
      </c>
      <c r="D64" t="s">
        <v>62</v>
      </c>
      <c r="E64">
        <v>0.7</v>
      </c>
      <c r="F64">
        <v>1</v>
      </c>
      <c r="G64">
        <v>0.1</v>
      </c>
      <c r="H64">
        <v>0.3</v>
      </c>
      <c r="I64" t="s">
        <v>63</v>
      </c>
      <c r="J64" t="s">
        <v>121</v>
      </c>
      <c r="K64" t="s">
        <v>613</v>
      </c>
      <c r="L64">
        <v>1325</v>
      </c>
      <c r="M64">
        <v>1667</v>
      </c>
      <c r="N64">
        <v>2992</v>
      </c>
      <c r="O64">
        <v>4484</v>
      </c>
      <c r="P64" t="s">
        <v>63</v>
      </c>
      <c r="Q64">
        <v>0.2</v>
      </c>
      <c r="R64">
        <v>117</v>
      </c>
      <c r="S64">
        <v>0.1</v>
      </c>
    </row>
    <row r="65" spans="1:19" x14ac:dyDescent="0.4">
      <c r="A65" t="s">
        <v>67</v>
      </c>
      <c r="B65" t="s">
        <v>553</v>
      </c>
      <c r="C65">
        <v>16850</v>
      </c>
      <c r="D65" t="s">
        <v>64</v>
      </c>
      <c r="E65">
        <v>307</v>
      </c>
      <c r="F65">
        <v>483</v>
      </c>
      <c r="G65">
        <v>300</v>
      </c>
      <c r="H65">
        <v>483</v>
      </c>
      <c r="I65" t="s">
        <v>63</v>
      </c>
      <c r="J65" t="s">
        <v>614</v>
      </c>
      <c r="K65" t="s">
        <v>615</v>
      </c>
      <c r="L65">
        <v>90</v>
      </c>
      <c r="M65">
        <v>19</v>
      </c>
      <c r="N65">
        <v>109</v>
      </c>
      <c r="O65">
        <v>224</v>
      </c>
      <c r="P65">
        <v>478</v>
      </c>
      <c r="Q65">
        <v>480</v>
      </c>
      <c r="R65">
        <v>610</v>
      </c>
      <c r="S65">
        <v>158</v>
      </c>
    </row>
    <row r="66" spans="1:19" x14ac:dyDescent="0.4">
      <c r="A66" t="s">
        <v>67</v>
      </c>
      <c r="B66" t="s">
        <v>553</v>
      </c>
      <c r="C66">
        <v>16900</v>
      </c>
      <c r="D66" t="s">
        <v>62</v>
      </c>
      <c r="E66">
        <v>0.4</v>
      </c>
      <c r="F66">
        <v>0.7</v>
      </c>
      <c r="G66">
        <v>0.1</v>
      </c>
      <c r="H66">
        <v>0.1</v>
      </c>
      <c r="I66" t="s">
        <v>63</v>
      </c>
      <c r="J66" t="s">
        <v>102</v>
      </c>
      <c r="K66" t="s">
        <v>616</v>
      </c>
      <c r="L66">
        <v>1301</v>
      </c>
      <c r="M66">
        <v>1192</v>
      </c>
      <c r="N66">
        <v>2493</v>
      </c>
      <c r="O66">
        <v>4636</v>
      </c>
      <c r="P66" t="s">
        <v>63</v>
      </c>
      <c r="Q66">
        <v>0.2</v>
      </c>
      <c r="R66">
        <v>93</v>
      </c>
      <c r="S66">
        <v>0.1</v>
      </c>
    </row>
    <row r="67" spans="1:19" x14ac:dyDescent="0.4">
      <c r="A67" t="s">
        <v>67</v>
      </c>
      <c r="B67" t="s">
        <v>553</v>
      </c>
      <c r="C67">
        <v>16900</v>
      </c>
      <c r="D67" t="s">
        <v>64</v>
      </c>
      <c r="E67">
        <v>400</v>
      </c>
      <c r="F67">
        <v>555</v>
      </c>
      <c r="G67">
        <v>323</v>
      </c>
      <c r="H67">
        <v>525</v>
      </c>
      <c r="I67" t="s">
        <v>63</v>
      </c>
      <c r="J67" t="s">
        <v>310</v>
      </c>
      <c r="K67" t="s">
        <v>617</v>
      </c>
      <c r="L67">
        <v>43</v>
      </c>
      <c r="M67">
        <v>41</v>
      </c>
      <c r="N67">
        <v>84</v>
      </c>
      <c r="O67">
        <v>337</v>
      </c>
      <c r="P67">
        <v>520</v>
      </c>
      <c r="Q67">
        <v>530</v>
      </c>
      <c r="R67">
        <v>645</v>
      </c>
      <c r="S67">
        <v>185</v>
      </c>
    </row>
    <row r="68" spans="1:19" x14ac:dyDescent="0.4">
      <c r="A68" t="s">
        <v>67</v>
      </c>
      <c r="B68" t="s">
        <v>553</v>
      </c>
      <c r="C68">
        <v>16950</v>
      </c>
      <c r="D68" t="s">
        <v>62</v>
      </c>
      <c r="E68">
        <v>0.4</v>
      </c>
      <c r="F68">
        <v>0.7</v>
      </c>
      <c r="G68">
        <v>0.1</v>
      </c>
      <c r="H68">
        <v>0.3</v>
      </c>
      <c r="I68" t="s">
        <v>63</v>
      </c>
      <c r="J68" t="s">
        <v>120</v>
      </c>
      <c r="K68" t="s">
        <v>556</v>
      </c>
      <c r="L68">
        <v>830</v>
      </c>
      <c r="M68">
        <v>366</v>
      </c>
      <c r="N68">
        <v>1196</v>
      </c>
      <c r="O68">
        <v>3152</v>
      </c>
      <c r="P68" t="s">
        <v>63</v>
      </c>
      <c r="Q68">
        <v>0.3</v>
      </c>
      <c r="R68">
        <v>72</v>
      </c>
      <c r="S68">
        <v>0.1</v>
      </c>
    </row>
    <row r="69" spans="1:19" x14ac:dyDescent="0.4">
      <c r="A69" t="s">
        <v>67</v>
      </c>
      <c r="B69" t="s">
        <v>553</v>
      </c>
      <c r="C69">
        <v>16950</v>
      </c>
      <c r="D69" t="s">
        <v>64</v>
      </c>
      <c r="E69">
        <v>399</v>
      </c>
      <c r="F69">
        <v>545</v>
      </c>
      <c r="G69">
        <v>376</v>
      </c>
      <c r="H69">
        <v>545</v>
      </c>
      <c r="I69" t="s">
        <v>63</v>
      </c>
      <c r="J69" t="s">
        <v>618</v>
      </c>
      <c r="K69" t="s">
        <v>619</v>
      </c>
      <c r="L69">
        <v>13</v>
      </c>
      <c r="M69">
        <v>16</v>
      </c>
      <c r="N69">
        <v>29</v>
      </c>
      <c r="O69">
        <v>48</v>
      </c>
      <c r="P69">
        <v>545</v>
      </c>
      <c r="Q69">
        <v>580</v>
      </c>
      <c r="R69">
        <v>680</v>
      </c>
      <c r="S69">
        <v>217</v>
      </c>
    </row>
    <row r="70" spans="1:19" x14ac:dyDescent="0.4">
      <c r="A70" t="s">
        <v>67</v>
      </c>
      <c r="B70" t="s">
        <v>553</v>
      </c>
      <c r="C70">
        <v>17000</v>
      </c>
      <c r="D70" t="s">
        <v>62</v>
      </c>
      <c r="E70">
        <v>0.4</v>
      </c>
      <c r="F70">
        <v>0.6</v>
      </c>
      <c r="G70">
        <v>0.1</v>
      </c>
      <c r="H70">
        <v>0.2</v>
      </c>
      <c r="I70" t="s">
        <v>63</v>
      </c>
      <c r="J70" t="s">
        <v>104</v>
      </c>
      <c r="K70" t="s">
        <v>555</v>
      </c>
      <c r="L70">
        <v>725</v>
      </c>
      <c r="M70">
        <v>702</v>
      </c>
      <c r="N70">
        <v>1427</v>
      </c>
      <c r="O70">
        <v>6208</v>
      </c>
      <c r="P70" t="s">
        <v>63</v>
      </c>
      <c r="Q70">
        <v>0.2</v>
      </c>
      <c r="R70">
        <v>55</v>
      </c>
      <c r="S70">
        <v>0.1</v>
      </c>
    </row>
    <row r="71" spans="1:19" x14ac:dyDescent="0.4">
      <c r="A71" t="s">
        <v>67</v>
      </c>
      <c r="B71" t="s">
        <v>553</v>
      </c>
      <c r="C71">
        <v>17000</v>
      </c>
      <c r="D71" t="s">
        <v>64</v>
      </c>
      <c r="E71">
        <v>430</v>
      </c>
      <c r="F71">
        <v>640</v>
      </c>
      <c r="G71">
        <v>430</v>
      </c>
      <c r="H71">
        <v>640</v>
      </c>
      <c r="I71" t="s">
        <v>63</v>
      </c>
      <c r="J71" t="s">
        <v>620</v>
      </c>
      <c r="K71" t="s">
        <v>292</v>
      </c>
      <c r="L71">
        <v>28</v>
      </c>
      <c r="M71">
        <v>14</v>
      </c>
      <c r="N71">
        <v>42</v>
      </c>
      <c r="O71">
        <v>106</v>
      </c>
      <c r="P71">
        <v>625</v>
      </c>
      <c r="Q71">
        <v>640</v>
      </c>
      <c r="R71">
        <v>680</v>
      </c>
      <c r="S71">
        <v>250</v>
      </c>
    </row>
    <row r="72" spans="1:19" x14ac:dyDescent="0.4">
      <c r="A72" t="s">
        <v>67</v>
      </c>
      <c r="B72" t="s">
        <v>553</v>
      </c>
      <c r="C72">
        <v>17050</v>
      </c>
      <c r="D72" t="s">
        <v>62</v>
      </c>
      <c r="E72">
        <v>0.6</v>
      </c>
      <c r="F72">
        <v>0.6</v>
      </c>
      <c r="G72">
        <v>0.1</v>
      </c>
      <c r="H72">
        <v>0.1</v>
      </c>
      <c r="I72" t="s">
        <v>63</v>
      </c>
      <c r="J72" t="s">
        <v>122</v>
      </c>
      <c r="K72" t="s">
        <v>621</v>
      </c>
      <c r="L72">
        <v>184</v>
      </c>
      <c r="M72">
        <v>228</v>
      </c>
      <c r="N72">
        <v>412</v>
      </c>
      <c r="O72">
        <v>1664</v>
      </c>
      <c r="P72" t="s">
        <v>63</v>
      </c>
      <c r="Q72">
        <v>0.3</v>
      </c>
      <c r="R72">
        <v>30</v>
      </c>
      <c r="S72">
        <v>0.1</v>
      </c>
    </row>
    <row r="73" spans="1:19" x14ac:dyDescent="0.4">
      <c r="A73" t="s">
        <v>67</v>
      </c>
      <c r="B73" t="s">
        <v>553</v>
      </c>
      <c r="C73">
        <v>17050</v>
      </c>
      <c r="D73" t="s">
        <v>64</v>
      </c>
      <c r="E73" t="s">
        <v>63</v>
      </c>
      <c r="F73" t="s">
        <v>63</v>
      </c>
      <c r="G73" t="s">
        <v>63</v>
      </c>
      <c r="H73" t="s">
        <v>63</v>
      </c>
      <c r="I73" t="s">
        <v>63</v>
      </c>
      <c r="J73" t="s">
        <v>68</v>
      </c>
      <c r="K73" t="s">
        <v>68</v>
      </c>
      <c r="L73">
        <v>0</v>
      </c>
      <c r="M73">
        <v>0</v>
      </c>
      <c r="N73">
        <v>0</v>
      </c>
      <c r="O73">
        <v>0</v>
      </c>
      <c r="P73">
        <v>488</v>
      </c>
      <c r="Q73">
        <v>820</v>
      </c>
      <c r="R73">
        <v>665</v>
      </c>
      <c r="S73">
        <v>336</v>
      </c>
    </row>
    <row r="74" spans="1:19" x14ac:dyDescent="0.4">
      <c r="A74" t="s">
        <v>67</v>
      </c>
      <c r="B74" t="s">
        <v>553</v>
      </c>
      <c r="C74">
        <v>17100</v>
      </c>
      <c r="D74" t="s">
        <v>62</v>
      </c>
      <c r="E74">
        <v>0.3</v>
      </c>
      <c r="F74">
        <v>0.4</v>
      </c>
      <c r="G74">
        <v>0.1</v>
      </c>
      <c r="H74">
        <v>0.1</v>
      </c>
      <c r="I74" t="s">
        <v>63</v>
      </c>
      <c r="J74" t="s">
        <v>105</v>
      </c>
      <c r="K74" t="s">
        <v>411</v>
      </c>
      <c r="L74">
        <v>541</v>
      </c>
      <c r="M74">
        <v>485</v>
      </c>
      <c r="N74">
        <v>1026</v>
      </c>
      <c r="O74">
        <v>6386</v>
      </c>
      <c r="P74" t="s">
        <v>63</v>
      </c>
      <c r="Q74">
        <v>0.1</v>
      </c>
      <c r="R74">
        <v>30.5</v>
      </c>
      <c r="S74">
        <v>0.1</v>
      </c>
    </row>
    <row r="75" spans="1:19" x14ac:dyDescent="0.4">
      <c r="A75" t="s">
        <v>67</v>
      </c>
      <c r="B75" t="s">
        <v>553</v>
      </c>
      <c r="C75">
        <v>17100</v>
      </c>
      <c r="D75" t="s">
        <v>64</v>
      </c>
      <c r="E75">
        <v>715</v>
      </c>
      <c r="F75">
        <v>715</v>
      </c>
      <c r="G75">
        <v>715</v>
      </c>
      <c r="H75">
        <v>715</v>
      </c>
      <c r="I75" t="s">
        <v>63</v>
      </c>
      <c r="J75" t="s">
        <v>622</v>
      </c>
      <c r="K75" t="s">
        <v>623</v>
      </c>
      <c r="L75">
        <v>4</v>
      </c>
      <c r="M75">
        <v>20</v>
      </c>
      <c r="N75">
        <v>24</v>
      </c>
      <c r="O75">
        <v>38</v>
      </c>
      <c r="P75">
        <v>720</v>
      </c>
      <c r="Q75">
        <v>735</v>
      </c>
      <c r="R75">
        <v>715</v>
      </c>
      <c r="S75">
        <v>323</v>
      </c>
    </row>
    <row r="76" spans="1:19" x14ac:dyDescent="0.4">
      <c r="A76" t="s">
        <v>67</v>
      </c>
      <c r="B76" t="s">
        <v>553</v>
      </c>
      <c r="C76">
        <v>17150</v>
      </c>
      <c r="D76" t="s">
        <v>62</v>
      </c>
      <c r="E76">
        <v>0.2</v>
      </c>
      <c r="F76">
        <v>0.2</v>
      </c>
      <c r="G76">
        <v>0.1</v>
      </c>
      <c r="H76">
        <v>0.1</v>
      </c>
      <c r="I76" t="s">
        <v>63</v>
      </c>
      <c r="J76" t="s">
        <v>105</v>
      </c>
      <c r="K76" t="s">
        <v>411</v>
      </c>
      <c r="L76">
        <v>90</v>
      </c>
      <c r="M76">
        <v>271</v>
      </c>
      <c r="N76">
        <v>361</v>
      </c>
      <c r="O76">
        <v>1779</v>
      </c>
      <c r="P76" t="s">
        <v>63</v>
      </c>
      <c r="Q76">
        <v>0.2</v>
      </c>
      <c r="R76">
        <v>12</v>
      </c>
      <c r="S76">
        <v>0.1</v>
      </c>
    </row>
    <row r="77" spans="1:19" x14ac:dyDescent="0.4">
      <c r="A77" t="s">
        <v>67</v>
      </c>
      <c r="B77" t="s">
        <v>553</v>
      </c>
      <c r="C77">
        <v>17150</v>
      </c>
      <c r="D77" t="s">
        <v>64</v>
      </c>
      <c r="E77" t="s">
        <v>63</v>
      </c>
      <c r="F77" t="s">
        <v>63</v>
      </c>
      <c r="G77" t="s">
        <v>63</v>
      </c>
      <c r="H77" t="s">
        <v>63</v>
      </c>
      <c r="I77" t="s">
        <v>63</v>
      </c>
      <c r="J77" t="s">
        <v>68</v>
      </c>
      <c r="K77" t="s">
        <v>68</v>
      </c>
      <c r="L77">
        <v>0</v>
      </c>
      <c r="M77">
        <v>0</v>
      </c>
      <c r="N77">
        <v>0</v>
      </c>
      <c r="O77">
        <v>7</v>
      </c>
      <c r="P77">
        <v>585</v>
      </c>
      <c r="Q77">
        <v>920</v>
      </c>
      <c r="R77">
        <v>530</v>
      </c>
      <c r="S77">
        <v>530</v>
      </c>
    </row>
    <row r="78" spans="1:19" x14ac:dyDescent="0.4">
      <c r="A78" t="s">
        <v>67</v>
      </c>
      <c r="B78" t="s">
        <v>553</v>
      </c>
      <c r="C78">
        <v>17200</v>
      </c>
      <c r="D78" t="s">
        <v>62</v>
      </c>
      <c r="E78">
        <v>0.3</v>
      </c>
      <c r="F78">
        <v>0.3</v>
      </c>
      <c r="G78">
        <v>0.1</v>
      </c>
      <c r="H78">
        <v>0.2</v>
      </c>
      <c r="I78" t="s">
        <v>63</v>
      </c>
      <c r="J78" t="s">
        <v>70</v>
      </c>
      <c r="K78" t="s">
        <v>125</v>
      </c>
      <c r="L78">
        <v>263</v>
      </c>
      <c r="M78">
        <v>562</v>
      </c>
      <c r="N78">
        <v>825</v>
      </c>
      <c r="O78">
        <v>2675</v>
      </c>
      <c r="P78" t="s">
        <v>63</v>
      </c>
      <c r="Q78">
        <v>0.3</v>
      </c>
      <c r="R78">
        <v>16.5</v>
      </c>
      <c r="S78">
        <v>0.1</v>
      </c>
    </row>
    <row r="79" spans="1:19" x14ac:dyDescent="0.4">
      <c r="A79" t="s">
        <v>67</v>
      </c>
      <c r="B79" t="s">
        <v>553</v>
      </c>
      <c r="C79">
        <v>17200</v>
      </c>
      <c r="D79" t="s">
        <v>64</v>
      </c>
      <c r="E79" t="s">
        <v>63</v>
      </c>
      <c r="F79" t="s">
        <v>63</v>
      </c>
      <c r="G79" t="s">
        <v>63</v>
      </c>
      <c r="H79" t="s">
        <v>63</v>
      </c>
      <c r="I79" t="s">
        <v>63</v>
      </c>
      <c r="J79" t="s">
        <v>68</v>
      </c>
      <c r="K79" t="s">
        <v>68</v>
      </c>
      <c r="L79">
        <v>0</v>
      </c>
      <c r="M79">
        <v>0</v>
      </c>
      <c r="N79">
        <v>0</v>
      </c>
      <c r="O79">
        <v>18</v>
      </c>
      <c r="P79">
        <v>635</v>
      </c>
      <c r="Q79">
        <v>840</v>
      </c>
      <c r="R79">
        <v>630</v>
      </c>
      <c r="S79">
        <v>411</v>
      </c>
    </row>
    <row r="80" spans="1:19" x14ac:dyDescent="0.4">
      <c r="A80" t="s">
        <v>67</v>
      </c>
      <c r="B80" t="s">
        <v>553</v>
      </c>
      <c r="C80">
        <v>17300</v>
      </c>
      <c r="D80" t="s">
        <v>62</v>
      </c>
      <c r="E80">
        <v>0.2</v>
      </c>
      <c r="F80">
        <v>0.5</v>
      </c>
      <c r="G80">
        <v>0.1</v>
      </c>
      <c r="H80">
        <v>0.1</v>
      </c>
      <c r="I80" t="s">
        <v>63</v>
      </c>
      <c r="J80" t="s">
        <v>74</v>
      </c>
      <c r="K80" s="28" t="s">
        <v>125</v>
      </c>
      <c r="L80">
        <v>64</v>
      </c>
      <c r="M80">
        <v>406</v>
      </c>
      <c r="N80">
        <v>470</v>
      </c>
      <c r="O80">
        <v>1778</v>
      </c>
      <c r="P80" t="s">
        <v>63</v>
      </c>
      <c r="Q80">
        <v>0.3</v>
      </c>
      <c r="R80">
        <v>8.6999999999999993</v>
      </c>
      <c r="S80">
        <v>0.1</v>
      </c>
    </row>
    <row r="81" spans="1:19" x14ac:dyDescent="0.4">
      <c r="A81" t="s">
        <v>67</v>
      </c>
      <c r="B81" t="s">
        <v>553</v>
      </c>
      <c r="C81">
        <v>17300</v>
      </c>
      <c r="D81" t="s">
        <v>64</v>
      </c>
      <c r="E81">
        <v>905</v>
      </c>
      <c r="F81">
        <v>910</v>
      </c>
      <c r="G81">
        <v>905</v>
      </c>
      <c r="H81">
        <v>910</v>
      </c>
      <c r="I81" t="s">
        <v>63</v>
      </c>
      <c r="J81" t="s">
        <v>328</v>
      </c>
      <c r="K81" t="s">
        <v>624</v>
      </c>
      <c r="L81">
        <v>0</v>
      </c>
      <c r="M81">
        <v>2</v>
      </c>
      <c r="N81">
        <v>2</v>
      </c>
      <c r="O81">
        <v>8</v>
      </c>
      <c r="P81">
        <v>735</v>
      </c>
      <c r="Q81">
        <v>955</v>
      </c>
      <c r="R81">
        <v>910</v>
      </c>
      <c r="S81">
        <v>505</v>
      </c>
    </row>
    <row r="82" spans="1:19" x14ac:dyDescent="0.4">
      <c r="A82" t="s">
        <v>67</v>
      </c>
      <c r="B82" t="s">
        <v>553</v>
      </c>
      <c r="C82">
        <v>17400</v>
      </c>
      <c r="D82" t="s">
        <v>62</v>
      </c>
      <c r="E82">
        <v>0.2</v>
      </c>
      <c r="F82">
        <v>0.2</v>
      </c>
      <c r="G82">
        <v>0.1</v>
      </c>
      <c r="H82">
        <v>0.1</v>
      </c>
      <c r="I82" t="s">
        <v>63</v>
      </c>
      <c r="J82" t="s">
        <v>74</v>
      </c>
      <c r="K82" t="s">
        <v>125</v>
      </c>
      <c r="L82">
        <v>80</v>
      </c>
      <c r="M82">
        <v>255</v>
      </c>
      <c r="N82">
        <v>335</v>
      </c>
      <c r="O82">
        <v>1023</v>
      </c>
      <c r="P82">
        <v>0.1</v>
      </c>
      <c r="Q82">
        <v>0.3</v>
      </c>
      <c r="R82">
        <v>4.4000000000000004</v>
      </c>
      <c r="S82">
        <v>0.1</v>
      </c>
    </row>
    <row r="83" spans="1:19" x14ac:dyDescent="0.4">
      <c r="A83" t="s">
        <v>67</v>
      </c>
      <c r="B83" t="s">
        <v>553</v>
      </c>
      <c r="C83">
        <v>17400</v>
      </c>
      <c r="D83" t="s">
        <v>64</v>
      </c>
      <c r="E83" t="s">
        <v>63</v>
      </c>
      <c r="F83" t="s">
        <v>63</v>
      </c>
      <c r="G83" t="s">
        <v>63</v>
      </c>
      <c r="H83" t="s">
        <v>63</v>
      </c>
      <c r="I83" t="s">
        <v>63</v>
      </c>
      <c r="J83" t="s">
        <v>68</v>
      </c>
      <c r="K83" t="s">
        <v>68</v>
      </c>
      <c r="L83">
        <v>0</v>
      </c>
      <c r="M83">
        <v>0</v>
      </c>
      <c r="N83">
        <v>0</v>
      </c>
      <c r="O83">
        <v>2</v>
      </c>
      <c r="P83">
        <v>945</v>
      </c>
      <c r="Q83">
        <v>1120</v>
      </c>
      <c r="R83">
        <v>1190</v>
      </c>
      <c r="S83">
        <v>605</v>
      </c>
    </row>
    <row r="84" spans="1:19" x14ac:dyDescent="0.4">
      <c r="A84" t="s">
        <v>67</v>
      </c>
      <c r="B84" t="s">
        <v>553</v>
      </c>
      <c r="C84">
        <v>17500</v>
      </c>
      <c r="D84" t="s">
        <v>62</v>
      </c>
      <c r="E84">
        <v>0.2</v>
      </c>
      <c r="F84">
        <v>0.2</v>
      </c>
      <c r="G84">
        <v>0.2</v>
      </c>
      <c r="H84">
        <v>0.2</v>
      </c>
      <c r="I84" t="s">
        <v>63</v>
      </c>
      <c r="J84" t="s">
        <v>73</v>
      </c>
      <c r="K84" s="28">
        <v>0</v>
      </c>
      <c r="L84">
        <v>236</v>
      </c>
      <c r="M84">
        <v>66</v>
      </c>
      <c r="N84">
        <v>302</v>
      </c>
      <c r="O84">
        <v>735</v>
      </c>
      <c r="P84">
        <v>0.1</v>
      </c>
      <c r="Q84">
        <v>0.5</v>
      </c>
      <c r="R84">
        <v>2.9</v>
      </c>
      <c r="S84">
        <v>0.1</v>
      </c>
    </row>
    <row r="85" spans="1:19" x14ac:dyDescent="0.4">
      <c r="A85" t="s">
        <v>67</v>
      </c>
      <c r="B85" t="s">
        <v>553</v>
      </c>
      <c r="C85">
        <v>17500</v>
      </c>
      <c r="D85" t="s">
        <v>64</v>
      </c>
      <c r="E85" t="s">
        <v>63</v>
      </c>
      <c r="F85" t="s">
        <v>63</v>
      </c>
      <c r="G85" t="s">
        <v>63</v>
      </c>
      <c r="H85" t="s">
        <v>63</v>
      </c>
      <c r="I85" t="s">
        <v>63</v>
      </c>
      <c r="J85" t="s">
        <v>68</v>
      </c>
      <c r="K85" t="s">
        <v>68</v>
      </c>
      <c r="L85">
        <v>0</v>
      </c>
      <c r="M85">
        <v>0</v>
      </c>
      <c r="N85">
        <v>0</v>
      </c>
      <c r="O85">
        <v>0</v>
      </c>
      <c r="P85">
        <v>935</v>
      </c>
      <c r="Q85">
        <v>1270</v>
      </c>
      <c r="R85">
        <v>1300</v>
      </c>
      <c r="S85">
        <v>745</v>
      </c>
    </row>
    <row r="86" spans="1:19" x14ac:dyDescent="0.4">
      <c r="A86" t="s">
        <v>67</v>
      </c>
      <c r="B86" t="s">
        <v>553</v>
      </c>
      <c r="C86">
        <v>17600</v>
      </c>
      <c r="D86" t="s">
        <v>62</v>
      </c>
      <c r="E86">
        <v>0.1</v>
      </c>
      <c r="F86">
        <v>0.1</v>
      </c>
      <c r="G86">
        <v>0.1</v>
      </c>
      <c r="H86">
        <v>0.1</v>
      </c>
      <c r="I86" t="s">
        <v>63</v>
      </c>
      <c r="J86" t="s">
        <v>74</v>
      </c>
      <c r="K86" t="s">
        <v>125</v>
      </c>
      <c r="L86">
        <v>0</v>
      </c>
      <c r="M86">
        <v>30</v>
      </c>
      <c r="N86">
        <v>30</v>
      </c>
      <c r="O86">
        <v>82</v>
      </c>
      <c r="P86">
        <v>0.1</v>
      </c>
      <c r="Q86">
        <v>0.5</v>
      </c>
      <c r="R86">
        <v>1.6</v>
      </c>
      <c r="S86">
        <v>0.1</v>
      </c>
    </row>
    <row r="87" spans="1:19" x14ac:dyDescent="0.4">
      <c r="A87" t="s">
        <v>67</v>
      </c>
      <c r="B87" t="s">
        <v>553</v>
      </c>
      <c r="C87">
        <v>17600</v>
      </c>
      <c r="D87" t="s">
        <v>64</v>
      </c>
      <c r="E87" t="s">
        <v>63</v>
      </c>
      <c r="F87" t="s">
        <v>63</v>
      </c>
      <c r="G87" t="s">
        <v>63</v>
      </c>
      <c r="H87" t="s">
        <v>63</v>
      </c>
      <c r="I87" t="s">
        <v>63</v>
      </c>
      <c r="J87" t="s">
        <v>68</v>
      </c>
      <c r="K87" t="s">
        <v>68</v>
      </c>
      <c r="L87">
        <v>0</v>
      </c>
      <c r="M87">
        <v>0</v>
      </c>
      <c r="N87">
        <v>0</v>
      </c>
      <c r="O87">
        <v>0</v>
      </c>
      <c r="P87">
        <v>1030</v>
      </c>
      <c r="Q87">
        <v>1370</v>
      </c>
      <c r="R87" t="s">
        <v>63</v>
      </c>
      <c r="S87" t="s">
        <v>63</v>
      </c>
    </row>
    <row r="88" spans="1:19" x14ac:dyDescent="0.4">
      <c r="A88" t="s">
        <v>67</v>
      </c>
      <c r="B88" t="s">
        <v>553</v>
      </c>
      <c r="C88">
        <v>17700</v>
      </c>
      <c r="D88" t="s">
        <v>62</v>
      </c>
      <c r="E88" t="s">
        <v>63</v>
      </c>
      <c r="F88" t="s">
        <v>63</v>
      </c>
      <c r="G88" t="s">
        <v>63</v>
      </c>
      <c r="H88" t="s">
        <v>63</v>
      </c>
      <c r="I88" t="s">
        <v>63</v>
      </c>
      <c r="J88" t="s">
        <v>68</v>
      </c>
      <c r="K88" t="s">
        <v>68</v>
      </c>
      <c r="L88">
        <v>0</v>
      </c>
      <c r="M88">
        <v>0</v>
      </c>
      <c r="N88">
        <v>0</v>
      </c>
      <c r="O88">
        <v>70</v>
      </c>
      <c r="P88" t="s">
        <v>63</v>
      </c>
      <c r="Q88">
        <v>0.4</v>
      </c>
      <c r="R88">
        <v>1.6</v>
      </c>
      <c r="S88">
        <v>0.1</v>
      </c>
    </row>
    <row r="89" spans="1:19" x14ac:dyDescent="0.4">
      <c r="A89" t="s">
        <v>67</v>
      </c>
      <c r="B89" t="s">
        <v>553</v>
      </c>
      <c r="C89">
        <v>17700</v>
      </c>
      <c r="D89" t="s">
        <v>64</v>
      </c>
      <c r="E89" t="s">
        <v>63</v>
      </c>
      <c r="F89" t="s">
        <v>63</v>
      </c>
      <c r="G89" t="s">
        <v>63</v>
      </c>
      <c r="H89" t="s">
        <v>63</v>
      </c>
      <c r="I89" t="s">
        <v>63</v>
      </c>
      <c r="J89" t="s">
        <v>68</v>
      </c>
      <c r="K89" t="s">
        <v>68</v>
      </c>
      <c r="L89">
        <v>0</v>
      </c>
      <c r="M89">
        <v>0</v>
      </c>
      <c r="N89">
        <v>0</v>
      </c>
      <c r="O89">
        <v>0</v>
      </c>
      <c r="P89">
        <v>1130</v>
      </c>
      <c r="Q89">
        <v>1470</v>
      </c>
      <c r="R89" t="s">
        <v>63</v>
      </c>
      <c r="S89" t="s">
        <v>63</v>
      </c>
    </row>
    <row r="90" spans="1:19" x14ac:dyDescent="0.4">
      <c r="A90" t="s">
        <v>67</v>
      </c>
      <c r="B90" t="s">
        <v>553</v>
      </c>
      <c r="C90">
        <v>17800</v>
      </c>
      <c r="D90" t="s">
        <v>62</v>
      </c>
      <c r="E90" t="s">
        <v>63</v>
      </c>
      <c r="F90" t="s">
        <v>63</v>
      </c>
      <c r="G90" t="s">
        <v>63</v>
      </c>
      <c r="H90" t="s">
        <v>63</v>
      </c>
      <c r="I90" t="s">
        <v>63</v>
      </c>
      <c r="J90" t="s">
        <v>68</v>
      </c>
      <c r="K90" t="s">
        <v>68</v>
      </c>
      <c r="L90">
        <v>0</v>
      </c>
      <c r="M90">
        <v>0</v>
      </c>
      <c r="N90">
        <v>0</v>
      </c>
      <c r="O90">
        <v>214</v>
      </c>
      <c r="P90" t="s">
        <v>63</v>
      </c>
      <c r="Q90">
        <v>0.6</v>
      </c>
      <c r="R90">
        <v>0.8</v>
      </c>
      <c r="S90">
        <v>0.1</v>
      </c>
    </row>
    <row r="91" spans="1:19" x14ac:dyDescent="0.4">
      <c r="A91" t="s">
        <v>67</v>
      </c>
      <c r="B91" t="s">
        <v>553</v>
      </c>
      <c r="C91">
        <v>17800</v>
      </c>
      <c r="D91" t="s">
        <v>64</v>
      </c>
      <c r="E91" t="s">
        <v>63</v>
      </c>
      <c r="F91" t="s">
        <v>63</v>
      </c>
      <c r="G91" t="s">
        <v>63</v>
      </c>
      <c r="H91" t="s">
        <v>63</v>
      </c>
      <c r="I91" t="s">
        <v>63</v>
      </c>
      <c r="J91" t="s">
        <v>68</v>
      </c>
      <c r="K91" t="s">
        <v>68</v>
      </c>
      <c r="L91">
        <v>9</v>
      </c>
      <c r="M91">
        <v>0</v>
      </c>
      <c r="N91">
        <v>9</v>
      </c>
      <c r="O91">
        <v>1</v>
      </c>
      <c r="P91">
        <v>1230</v>
      </c>
      <c r="Q91">
        <v>1570</v>
      </c>
      <c r="R91">
        <v>1260</v>
      </c>
      <c r="S91">
        <v>1000</v>
      </c>
    </row>
    <row r="92" spans="1:19" x14ac:dyDescent="0.4">
      <c r="A92" t="s">
        <v>67</v>
      </c>
      <c r="B92" t="s">
        <v>553</v>
      </c>
      <c r="C92">
        <v>17900</v>
      </c>
      <c r="D92" t="s">
        <v>62</v>
      </c>
      <c r="E92" t="s">
        <v>63</v>
      </c>
      <c r="F92" t="s">
        <v>63</v>
      </c>
      <c r="G92" t="s">
        <v>63</v>
      </c>
      <c r="H92" t="s">
        <v>63</v>
      </c>
      <c r="I92" t="s">
        <v>63</v>
      </c>
      <c r="J92" t="s">
        <v>68</v>
      </c>
      <c r="K92" t="s">
        <v>68</v>
      </c>
      <c r="L92">
        <v>0</v>
      </c>
      <c r="M92">
        <v>0</v>
      </c>
      <c r="N92">
        <v>0</v>
      </c>
      <c r="O92">
        <v>304</v>
      </c>
      <c r="P92" t="s">
        <v>63</v>
      </c>
      <c r="Q92">
        <v>0.6</v>
      </c>
      <c r="R92">
        <v>0.4</v>
      </c>
      <c r="S92">
        <v>0.2</v>
      </c>
    </row>
    <row r="93" spans="1:19" x14ac:dyDescent="0.4">
      <c r="A93" t="s">
        <v>67</v>
      </c>
      <c r="B93" t="s">
        <v>553</v>
      </c>
      <c r="C93">
        <v>17900</v>
      </c>
      <c r="D93" t="s">
        <v>64</v>
      </c>
      <c r="E93" t="s">
        <v>63</v>
      </c>
      <c r="F93" t="s">
        <v>63</v>
      </c>
      <c r="G93" t="s">
        <v>63</v>
      </c>
      <c r="H93" t="s">
        <v>63</v>
      </c>
      <c r="I93" t="s">
        <v>63</v>
      </c>
      <c r="J93" t="s">
        <v>68</v>
      </c>
      <c r="K93" t="s">
        <v>68</v>
      </c>
      <c r="L93">
        <v>0</v>
      </c>
      <c r="M93">
        <v>0</v>
      </c>
      <c r="N93">
        <v>0</v>
      </c>
      <c r="O93">
        <v>0</v>
      </c>
      <c r="P93">
        <v>1330</v>
      </c>
      <c r="Q93">
        <v>1670</v>
      </c>
      <c r="R93" t="s">
        <v>63</v>
      </c>
      <c r="S93" t="s">
        <v>63</v>
      </c>
    </row>
    <row r="94" spans="1:19" x14ac:dyDescent="0.4">
      <c r="A94" t="s">
        <v>67</v>
      </c>
      <c r="B94" t="s">
        <v>553</v>
      </c>
      <c r="C94">
        <v>18000</v>
      </c>
      <c r="D94" t="s">
        <v>62</v>
      </c>
      <c r="E94" t="s">
        <v>63</v>
      </c>
      <c r="F94" t="s">
        <v>63</v>
      </c>
      <c r="G94" t="s">
        <v>63</v>
      </c>
      <c r="H94" t="s">
        <v>63</v>
      </c>
      <c r="I94" t="s">
        <v>63</v>
      </c>
      <c r="J94" t="s">
        <v>68</v>
      </c>
      <c r="K94" t="s">
        <v>68</v>
      </c>
      <c r="L94">
        <v>0</v>
      </c>
      <c r="M94">
        <v>0</v>
      </c>
      <c r="N94">
        <v>0</v>
      </c>
      <c r="O94">
        <v>3</v>
      </c>
      <c r="P94" t="s">
        <v>63</v>
      </c>
      <c r="Q94">
        <v>0.6</v>
      </c>
      <c r="R94">
        <v>0.5</v>
      </c>
      <c r="S94">
        <v>0.1</v>
      </c>
    </row>
    <row r="95" spans="1:19" x14ac:dyDescent="0.4">
      <c r="A95" t="s">
        <v>67</v>
      </c>
      <c r="B95" t="s">
        <v>553</v>
      </c>
      <c r="C95">
        <v>18000</v>
      </c>
      <c r="D95" t="s">
        <v>64</v>
      </c>
      <c r="E95" t="s">
        <v>63</v>
      </c>
      <c r="F95" t="s">
        <v>63</v>
      </c>
      <c r="G95" t="s">
        <v>63</v>
      </c>
      <c r="H95" t="s">
        <v>63</v>
      </c>
      <c r="I95" t="s">
        <v>63</v>
      </c>
      <c r="J95" t="s">
        <v>68</v>
      </c>
      <c r="K95" t="s">
        <v>68</v>
      </c>
      <c r="L95">
        <v>0</v>
      </c>
      <c r="M95">
        <v>0</v>
      </c>
      <c r="N95">
        <v>0</v>
      </c>
      <c r="O95">
        <v>0</v>
      </c>
      <c r="P95">
        <v>1430</v>
      </c>
      <c r="Q95">
        <v>1770</v>
      </c>
      <c r="R95" t="s">
        <v>63</v>
      </c>
      <c r="S95" t="s">
        <v>63</v>
      </c>
    </row>
    <row r="96" spans="1:19" x14ac:dyDescent="0.4">
      <c r="A96" t="s">
        <v>67</v>
      </c>
      <c r="B96" t="s">
        <v>553</v>
      </c>
      <c r="C96">
        <v>18100</v>
      </c>
      <c r="D96" t="s">
        <v>62</v>
      </c>
      <c r="E96" t="s">
        <v>63</v>
      </c>
      <c r="F96" t="s">
        <v>63</v>
      </c>
      <c r="G96" t="s">
        <v>63</v>
      </c>
      <c r="H96" t="s">
        <v>63</v>
      </c>
      <c r="I96" t="s">
        <v>63</v>
      </c>
      <c r="J96" t="s">
        <v>68</v>
      </c>
      <c r="K96" t="s">
        <v>68</v>
      </c>
      <c r="L96">
        <v>0</v>
      </c>
      <c r="M96">
        <v>0</v>
      </c>
      <c r="N96">
        <v>0</v>
      </c>
      <c r="O96">
        <v>1</v>
      </c>
      <c r="P96" t="s">
        <v>63</v>
      </c>
      <c r="Q96">
        <v>0.6</v>
      </c>
      <c r="R96">
        <v>0.4</v>
      </c>
      <c r="S96">
        <v>0.4</v>
      </c>
    </row>
    <row r="97" spans="1:19" x14ac:dyDescent="0.4">
      <c r="A97" t="s">
        <v>67</v>
      </c>
      <c r="B97" t="s">
        <v>553</v>
      </c>
      <c r="C97">
        <v>18100</v>
      </c>
      <c r="D97" t="s">
        <v>64</v>
      </c>
      <c r="E97" t="s">
        <v>63</v>
      </c>
      <c r="F97" t="s">
        <v>63</v>
      </c>
      <c r="G97" t="s">
        <v>63</v>
      </c>
      <c r="H97" t="s">
        <v>63</v>
      </c>
      <c r="I97" t="s">
        <v>63</v>
      </c>
      <c r="J97" t="s">
        <v>68</v>
      </c>
      <c r="K97" t="s">
        <v>68</v>
      </c>
      <c r="L97">
        <v>0</v>
      </c>
      <c r="M97">
        <v>0</v>
      </c>
      <c r="N97">
        <v>0</v>
      </c>
      <c r="O97">
        <v>0</v>
      </c>
      <c r="P97">
        <v>1530</v>
      </c>
      <c r="Q97">
        <v>1870</v>
      </c>
      <c r="R97" t="s">
        <v>63</v>
      </c>
      <c r="S97" t="s">
        <v>63</v>
      </c>
    </row>
    <row r="98" spans="1:19" x14ac:dyDescent="0.4">
      <c r="A98" t="s">
        <v>67</v>
      </c>
      <c r="B98" t="s">
        <v>553</v>
      </c>
      <c r="C98">
        <v>18200</v>
      </c>
      <c r="D98" t="s">
        <v>62</v>
      </c>
      <c r="E98" t="s">
        <v>63</v>
      </c>
      <c r="F98" t="s">
        <v>63</v>
      </c>
      <c r="G98" t="s">
        <v>63</v>
      </c>
      <c r="H98" t="s">
        <v>63</v>
      </c>
      <c r="I98" t="s">
        <v>63</v>
      </c>
      <c r="J98" t="s">
        <v>68</v>
      </c>
      <c r="K98" t="s">
        <v>68</v>
      </c>
      <c r="L98">
        <v>1</v>
      </c>
      <c r="M98">
        <v>0</v>
      </c>
      <c r="N98">
        <v>1</v>
      </c>
      <c r="O98">
        <v>16</v>
      </c>
      <c r="P98" t="s">
        <v>63</v>
      </c>
      <c r="Q98">
        <v>0.4</v>
      </c>
      <c r="R98">
        <v>1.2</v>
      </c>
      <c r="S98">
        <v>0.1</v>
      </c>
    </row>
    <row r="99" spans="1:19" x14ac:dyDescent="0.4">
      <c r="A99" t="s">
        <v>67</v>
      </c>
      <c r="B99" t="s">
        <v>553</v>
      </c>
      <c r="C99">
        <v>18200</v>
      </c>
      <c r="D99" t="s">
        <v>64</v>
      </c>
      <c r="E99" t="s">
        <v>63</v>
      </c>
      <c r="F99" t="s">
        <v>63</v>
      </c>
      <c r="G99" t="s">
        <v>63</v>
      </c>
      <c r="H99" t="s">
        <v>63</v>
      </c>
      <c r="I99" t="s">
        <v>63</v>
      </c>
      <c r="J99" t="s">
        <v>68</v>
      </c>
      <c r="K99" t="s">
        <v>68</v>
      </c>
      <c r="L99">
        <v>0</v>
      </c>
      <c r="M99">
        <v>0</v>
      </c>
      <c r="N99">
        <v>0</v>
      </c>
      <c r="O99">
        <v>0</v>
      </c>
      <c r="P99">
        <v>1630</v>
      </c>
      <c r="Q99">
        <v>1970</v>
      </c>
      <c r="R99" t="s">
        <v>63</v>
      </c>
      <c r="S99" t="s">
        <v>63</v>
      </c>
    </row>
    <row r="100" spans="1:19" x14ac:dyDescent="0.4">
      <c r="A100" t="s">
        <v>67</v>
      </c>
      <c r="B100" t="s">
        <v>553</v>
      </c>
      <c r="C100">
        <v>18300</v>
      </c>
      <c r="D100" t="s">
        <v>62</v>
      </c>
      <c r="E100" t="s">
        <v>63</v>
      </c>
      <c r="F100" t="s">
        <v>63</v>
      </c>
      <c r="G100" t="s">
        <v>63</v>
      </c>
      <c r="H100" t="s">
        <v>63</v>
      </c>
      <c r="I100" t="s">
        <v>63</v>
      </c>
      <c r="J100" t="s">
        <v>68</v>
      </c>
      <c r="K100" t="s">
        <v>68</v>
      </c>
      <c r="L100">
        <v>0</v>
      </c>
      <c r="M100">
        <v>0</v>
      </c>
      <c r="N100">
        <v>0</v>
      </c>
      <c r="O100">
        <v>0</v>
      </c>
      <c r="P100" t="s">
        <v>63</v>
      </c>
      <c r="Q100">
        <v>0.6</v>
      </c>
      <c r="R100" t="s">
        <v>63</v>
      </c>
      <c r="S100" t="s">
        <v>63</v>
      </c>
    </row>
    <row r="101" spans="1:19" x14ac:dyDescent="0.4">
      <c r="A101" t="s">
        <v>67</v>
      </c>
      <c r="B101" t="s">
        <v>553</v>
      </c>
      <c r="C101">
        <v>18300</v>
      </c>
      <c r="D101" t="s">
        <v>64</v>
      </c>
      <c r="E101" t="s">
        <v>63</v>
      </c>
      <c r="F101" t="s">
        <v>63</v>
      </c>
      <c r="G101" t="s">
        <v>63</v>
      </c>
      <c r="H101" t="s">
        <v>63</v>
      </c>
      <c r="I101" t="s">
        <v>63</v>
      </c>
      <c r="J101" t="s">
        <v>68</v>
      </c>
      <c r="K101" t="s">
        <v>68</v>
      </c>
      <c r="L101">
        <v>0</v>
      </c>
      <c r="M101">
        <v>0</v>
      </c>
      <c r="N101">
        <v>0</v>
      </c>
      <c r="O101">
        <v>0</v>
      </c>
      <c r="P101">
        <v>1730</v>
      </c>
      <c r="Q101">
        <v>2070</v>
      </c>
      <c r="R101" t="s">
        <v>63</v>
      </c>
      <c r="S101" t="s">
        <v>63</v>
      </c>
    </row>
    <row r="102" spans="1:19" x14ac:dyDescent="0.4">
      <c r="A102" t="s">
        <v>67</v>
      </c>
      <c r="B102" t="s">
        <v>553</v>
      </c>
      <c r="C102">
        <v>18400</v>
      </c>
      <c r="D102" t="s">
        <v>62</v>
      </c>
      <c r="E102" t="s">
        <v>63</v>
      </c>
      <c r="F102" t="s">
        <v>63</v>
      </c>
      <c r="G102" t="s">
        <v>63</v>
      </c>
      <c r="H102" t="s">
        <v>63</v>
      </c>
      <c r="I102" t="s">
        <v>63</v>
      </c>
      <c r="J102" t="s">
        <v>68</v>
      </c>
      <c r="K102" t="s">
        <v>68</v>
      </c>
      <c r="L102">
        <v>0</v>
      </c>
      <c r="M102">
        <v>0</v>
      </c>
      <c r="N102">
        <v>0</v>
      </c>
      <c r="O102">
        <v>3</v>
      </c>
      <c r="P102" t="s">
        <v>63</v>
      </c>
      <c r="Q102">
        <v>0.6</v>
      </c>
      <c r="R102">
        <v>0.5</v>
      </c>
      <c r="S102">
        <v>0.1</v>
      </c>
    </row>
    <row r="103" spans="1:19" x14ac:dyDescent="0.4">
      <c r="A103" t="s">
        <v>67</v>
      </c>
      <c r="B103" t="s">
        <v>553</v>
      </c>
      <c r="C103">
        <v>18400</v>
      </c>
      <c r="D103" t="s">
        <v>64</v>
      </c>
      <c r="E103" t="s">
        <v>63</v>
      </c>
      <c r="F103" t="s">
        <v>63</v>
      </c>
      <c r="G103" t="s">
        <v>63</v>
      </c>
      <c r="H103" t="s">
        <v>63</v>
      </c>
      <c r="I103" t="s">
        <v>63</v>
      </c>
      <c r="J103" t="s">
        <v>68</v>
      </c>
      <c r="K103" t="s">
        <v>68</v>
      </c>
      <c r="L103">
        <v>0</v>
      </c>
      <c r="M103">
        <v>0</v>
      </c>
      <c r="N103">
        <v>0</v>
      </c>
      <c r="O103">
        <v>0</v>
      </c>
      <c r="P103">
        <v>1830</v>
      </c>
      <c r="Q103">
        <v>2170</v>
      </c>
      <c r="R103" t="s">
        <v>63</v>
      </c>
      <c r="S103" t="s">
        <v>63</v>
      </c>
    </row>
    <row r="104" spans="1:19" x14ac:dyDescent="0.4">
      <c r="A104" t="s">
        <v>67</v>
      </c>
      <c r="B104">
        <v>202110</v>
      </c>
      <c r="C104">
        <v>13800</v>
      </c>
      <c r="D104" t="s">
        <v>62</v>
      </c>
      <c r="E104" t="s">
        <v>63</v>
      </c>
      <c r="F104" t="s">
        <v>63</v>
      </c>
      <c r="G104" t="s">
        <v>63</v>
      </c>
      <c r="H104" t="s">
        <v>63</v>
      </c>
      <c r="I104">
        <v>2520</v>
      </c>
      <c r="J104" t="s">
        <v>68</v>
      </c>
      <c r="K104" t="s">
        <v>68</v>
      </c>
      <c r="L104">
        <v>0</v>
      </c>
      <c r="M104">
        <v>0</v>
      </c>
      <c r="N104">
        <v>0</v>
      </c>
      <c r="O104">
        <v>3</v>
      </c>
      <c r="P104">
        <v>2410</v>
      </c>
      <c r="Q104">
        <v>2730</v>
      </c>
      <c r="R104">
        <v>3510</v>
      </c>
      <c r="S104">
        <v>3000</v>
      </c>
    </row>
    <row r="105" spans="1:19" x14ac:dyDescent="0.4">
      <c r="A105" t="s">
        <v>67</v>
      </c>
      <c r="B105">
        <v>202110</v>
      </c>
      <c r="C105">
        <v>13800</v>
      </c>
      <c r="D105" t="s">
        <v>64</v>
      </c>
      <c r="E105">
        <v>1.2</v>
      </c>
      <c r="F105">
        <v>1.4</v>
      </c>
      <c r="G105">
        <v>0.6</v>
      </c>
      <c r="H105">
        <v>1.1000000000000001</v>
      </c>
      <c r="I105">
        <v>1</v>
      </c>
      <c r="J105" t="s">
        <v>243</v>
      </c>
      <c r="K105" t="s">
        <v>255</v>
      </c>
      <c r="L105">
        <v>25</v>
      </c>
      <c r="M105">
        <v>254</v>
      </c>
      <c r="N105">
        <v>279</v>
      </c>
      <c r="O105">
        <v>5914</v>
      </c>
      <c r="P105">
        <v>0.9</v>
      </c>
      <c r="Q105">
        <v>1</v>
      </c>
      <c r="R105">
        <v>70</v>
      </c>
      <c r="S105">
        <v>0.6</v>
      </c>
    </row>
    <row r="106" spans="1:19" x14ac:dyDescent="0.4">
      <c r="A106" t="s">
        <v>67</v>
      </c>
      <c r="B106">
        <v>202110</v>
      </c>
      <c r="C106">
        <v>13900</v>
      </c>
      <c r="D106" t="s">
        <v>62</v>
      </c>
      <c r="E106" t="s">
        <v>63</v>
      </c>
      <c r="F106" t="s">
        <v>63</v>
      </c>
      <c r="G106" t="s">
        <v>63</v>
      </c>
      <c r="H106" t="s">
        <v>63</v>
      </c>
      <c r="I106">
        <v>2420</v>
      </c>
      <c r="J106" t="s">
        <v>68</v>
      </c>
      <c r="K106" t="s">
        <v>68</v>
      </c>
      <c r="L106">
        <v>0</v>
      </c>
      <c r="M106">
        <v>0</v>
      </c>
      <c r="N106">
        <v>0</v>
      </c>
      <c r="O106">
        <v>0</v>
      </c>
      <c r="P106">
        <v>2310</v>
      </c>
      <c r="Q106">
        <v>2630</v>
      </c>
      <c r="R106" t="s">
        <v>63</v>
      </c>
      <c r="S106" t="s">
        <v>63</v>
      </c>
    </row>
    <row r="107" spans="1:19" x14ac:dyDescent="0.4">
      <c r="A107" t="s">
        <v>67</v>
      </c>
      <c r="B107">
        <v>202110</v>
      </c>
      <c r="C107">
        <v>13900</v>
      </c>
      <c r="D107" t="s">
        <v>64</v>
      </c>
      <c r="E107">
        <v>1.2</v>
      </c>
      <c r="F107">
        <v>1.3</v>
      </c>
      <c r="G107">
        <v>1</v>
      </c>
      <c r="H107">
        <v>1</v>
      </c>
      <c r="I107">
        <v>1</v>
      </c>
      <c r="J107" t="s">
        <v>625</v>
      </c>
      <c r="K107" t="s">
        <v>626</v>
      </c>
      <c r="L107">
        <v>25</v>
      </c>
      <c r="M107">
        <v>8</v>
      </c>
      <c r="N107">
        <v>33</v>
      </c>
      <c r="O107">
        <v>3493</v>
      </c>
      <c r="P107" t="s">
        <v>63</v>
      </c>
      <c r="Q107">
        <v>1.1000000000000001</v>
      </c>
      <c r="R107">
        <v>125</v>
      </c>
      <c r="S107">
        <v>1</v>
      </c>
    </row>
    <row r="108" spans="1:19" x14ac:dyDescent="0.4">
      <c r="A108" t="s">
        <v>67</v>
      </c>
      <c r="B108">
        <v>202110</v>
      </c>
      <c r="C108">
        <v>14000</v>
      </c>
      <c r="D108" t="s">
        <v>62</v>
      </c>
      <c r="E108" t="s">
        <v>63</v>
      </c>
      <c r="F108" t="s">
        <v>63</v>
      </c>
      <c r="G108" t="s">
        <v>63</v>
      </c>
      <c r="H108" t="s">
        <v>63</v>
      </c>
      <c r="I108">
        <v>2320</v>
      </c>
      <c r="J108" t="s">
        <v>68</v>
      </c>
      <c r="K108" t="s">
        <v>68</v>
      </c>
      <c r="L108">
        <v>0</v>
      </c>
      <c r="M108">
        <v>0</v>
      </c>
      <c r="N108">
        <v>0</v>
      </c>
      <c r="O108">
        <v>0</v>
      </c>
      <c r="P108">
        <v>2210</v>
      </c>
      <c r="Q108">
        <v>2530</v>
      </c>
      <c r="R108" t="s">
        <v>63</v>
      </c>
      <c r="S108" t="s">
        <v>63</v>
      </c>
    </row>
    <row r="109" spans="1:19" x14ac:dyDescent="0.4">
      <c r="A109" t="s">
        <v>67</v>
      </c>
      <c r="B109">
        <v>202110</v>
      </c>
      <c r="C109">
        <v>14000</v>
      </c>
      <c r="D109" t="s">
        <v>64</v>
      </c>
      <c r="E109">
        <v>1.4</v>
      </c>
      <c r="F109">
        <v>2.1</v>
      </c>
      <c r="G109">
        <v>1</v>
      </c>
      <c r="H109">
        <v>2.1</v>
      </c>
      <c r="I109">
        <v>1.3</v>
      </c>
      <c r="J109" t="s">
        <v>107</v>
      </c>
      <c r="K109" t="s">
        <v>627</v>
      </c>
      <c r="L109">
        <v>325</v>
      </c>
      <c r="M109">
        <v>18</v>
      </c>
      <c r="N109">
        <v>343</v>
      </c>
      <c r="O109">
        <v>2724</v>
      </c>
      <c r="P109">
        <v>0.9</v>
      </c>
      <c r="Q109">
        <v>1.6</v>
      </c>
      <c r="R109">
        <v>125</v>
      </c>
      <c r="S109">
        <v>1</v>
      </c>
    </row>
    <row r="110" spans="1:19" x14ac:dyDescent="0.4">
      <c r="A110" t="s">
        <v>67</v>
      </c>
      <c r="B110">
        <v>202110</v>
      </c>
      <c r="C110">
        <v>14100</v>
      </c>
      <c r="D110" t="s">
        <v>62</v>
      </c>
      <c r="E110" t="s">
        <v>63</v>
      </c>
      <c r="F110" t="s">
        <v>63</v>
      </c>
      <c r="G110" t="s">
        <v>63</v>
      </c>
      <c r="H110" t="s">
        <v>63</v>
      </c>
      <c r="I110">
        <v>2220</v>
      </c>
      <c r="J110" t="s">
        <v>68</v>
      </c>
      <c r="K110" t="s">
        <v>68</v>
      </c>
      <c r="L110">
        <v>0</v>
      </c>
      <c r="M110">
        <v>0</v>
      </c>
      <c r="N110">
        <v>0</v>
      </c>
      <c r="O110">
        <v>0</v>
      </c>
      <c r="P110">
        <v>2110</v>
      </c>
      <c r="Q110">
        <v>2430</v>
      </c>
      <c r="R110" t="s">
        <v>63</v>
      </c>
      <c r="S110" t="s">
        <v>63</v>
      </c>
    </row>
    <row r="111" spans="1:19" x14ac:dyDescent="0.4">
      <c r="A111" t="s">
        <v>67</v>
      </c>
      <c r="B111">
        <v>202110</v>
      </c>
      <c r="C111">
        <v>14100</v>
      </c>
      <c r="D111" t="s">
        <v>64</v>
      </c>
      <c r="E111" t="s">
        <v>63</v>
      </c>
      <c r="F111" t="s">
        <v>63</v>
      </c>
      <c r="G111" t="s">
        <v>63</v>
      </c>
      <c r="H111" t="s">
        <v>63</v>
      </c>
      <c r="I111">
        <v>1.5</v>
      </c>
      <c r="J111" t="s">
        <v>68</v>
      </c>
      <c r="K111" t="s">
        <v>68</v>
      </c>
      <c r="L111">
        <v>4</v>
      </c>
      <c r="M111">
        <v>0</v>
      </c>
      <c r="N111">
        <v>4</v>
      </c>
      <c r="O111">
        <v>496</v>
      </c>
      <c r="P111">
        <v>1</v>
      </c>
      <c r="Q111">
        <v>2</v>
      </c>
      <c r="R111">
        <v>174</v>
      </c>
      <c r="S111">
        <v>2.5</v>
      </c>
    </row>
    <row r="112" spans="1:19" x14ac:dyDescent="0.4">
      <c r="A112" t="s">
        <v>67</v>
      </c>
      <c r="B112">
        <v>202110</v>
      </c>
      <c r="C112">
        <v>14200</v>
      </c>
      <c r="D112" t="s">
        <v>62</v>
      </c>
      <c r="E112" t="s">
        <v>63</v>
      </c>
      <c r="F112" t="s">
        <v>63</v>
      </c>
      <c r="G112" t="s">
        <v>63</v>
      </c>
      <c r="H112" t="s">
        <v>63</v>
      </c>
      <c r="I112">
        <v>2120</v>
      </c>
      <c r="J112" t="s">
        <v>68</v>
      </c>
      <c r="K112" t="s">
        <v>68</v>
      </c>
      <c r="L112">
        <v>0</v>
      </c>
      <c r="M112">
        <v>0</v>
      </c>
      <c r="N112">
        <v>0</v>
      </c>
      <c r="O112">
        <v>0</v>
      </c>
      <c r="P112">
        <v>2010</v>
      </c>
      <c r="Q112">
        <v>2330</v>
      </c>
      <c r="R112" t="s">
        <v>63</v>
      </c>
      <c r="S112" t="s">
        <v>63</v>
      </c>
    </row>
    <row r="113" spans="1:19" x14ac:dyDescent="0.4">
      <c r="A113" t="s">
        <v>67</v>
      </c>
      <c r="B113">
        <v>202110</v>
      </c>
      <c r="C113">
        <v>14200</v>
      </c>
      <c r="D113" t="s">
        <v>64</v>
      </c>
      <c r="E113" t="s">
        <v>63</v>
      </c>
      <c r="F113" t="s">
        <v>63</v>
      </c>
      <c r="G113" t="s">
        <v>63</v>
      </c>
      <c r="H113" t="s">
        <v>63</v>
      </c>
      <c r="I113">
        <v>1.7</v>
      </c>
      <c r="J113" t="s">
        <v>68</v>
      </c>
      <c r="K113" t="s">
        <v>68</v>
      </c>
      <c r="L113">
        <v>2</v>
      </c>
      <c r="M113">
        <v>0</v>
      </c>
      <c r="N113">
        <v>2</v>
      </c>
      <c r="O113">
        <v>470</v>
      </c>
      <c r="P113">
        <v>1.1000000000000001</v>
      </c>
      <c r="Q113">
        <v>2.9</v>
      </c>
      <c r="R113">
        <v>177</v>
      </c>
      <c r="S113">
        <v>3</v>
      </c>
    </row>
    <row r="114" spans="1:19" x14ac:dyDescent="0.4">
      <c r="A114" t="s">
        <v>67</v>
      </c>
      <c r="B114">
        <v>202110</v>
      </c>
      <c r="C114">
        <v>14300</v>
      </c>
      <c r="D114" t="s">
        <v>62</v>
      </c>
      <c r="E114" t="s">
        <v>63</v>
      </c>
      <c r="F114" t="s">
        <v>63</v>
      </c>
      <c r="G114" t="s">
        <v>63</v>
      </c>
      <c r="H114" t="s">
        <v>63</v>
      </c>
      <c r="I114">
        <v>2020</v>
      </c>
      <c r="J114" t="s">
        <v>68</v>
      </c>
      <c r="K114" t="s">
        <v>68</v>
      </c>
      <c r="L114">
        <v>0</v>
      </c>
      <c r="M114">
        <v>0</v>
      </c>
      <c r="N114">
        <v>0</v>
      </c>
      <c r="O114">
        <v>0</v>
      </c>
      <c r="P114">
        <v>1910</v>
      </c>
      <c r="Q114">
        <v>2230</v>
      </c>
      <c r="R114" t="s">
        <v>63</v>
      </c>
      <c r="S114" t="s">
        <v>63</v>
      </c>
    </row>
    <row r="115" spans="1:19" x14ac:dyDescent="0.4">
      <c r="A115" t="s">
        <v>67</v>
      </c>
      <c r="B115">
        <v>202110</v>
      </c>
      <c r="C115">
        <v>14300</v>
      </c>
      <c r="D115" t="s">
        <v>64</v>
      </c>
      <c r="E115">
        <v>2.1</v>
      </c>
      <c r="F115">
        <v>2.2000000000000002</v>
      </c>
      <c r="G115">
        <v>1.7</v>
      </c>
      <c r="H115">
        <v>1.9</v>
      </c>
      <c r="I115">
        <v>1.9</v>
      </c>
      <c r="J115" t="s">
        <v>215</v>
      </c>
      <c r="K115" t="s">
        <v>628</v>
      </c>
      <c r="L115">
        <v>6</v>
      </c>
      <c r="M115">
        <v>52</v>
      </c>
      <c r="N115">
        <v>58</v>
      </c>
      <c r="O115">
        <v>351</v>
      </c>
      <c r="P115">
        <v>1.1000000000000001</v>
      </c>
      <c r="Q115">
        <v>2</v>
      </c>
      <c r="R115">
        <v>197</v>
      </c>
      <c r="S115">
        <v>1.7</v>
      </c>
    </row>
    <row r="116" spans="1:19" x14ac:dyDescent="0.4">
      <c r="A116" t="s">
        <v>67</v>
      </c>
      <c r="B116">
        <v>202110</v>
      </c>
      <c r="C116">
        <v>14400</v>
      </c>
      <c r="D116" t="s">
        <v>62</v>
      </c>
      <c r="E116">
        <v>2080</v>
      </c>
      <c r="F116">
        <v>2080</v>
      </c>
      <c r="G116">
        <v>2080</v>
      </c>
      <c r="H116">
        <v>2080</v>
      </c>
      <c r="I116">
        <v>1920</v>
      </c>
      <c r="J116" t="s">
        <v>461</v>
      </c>
      <c r="K116" t="s">
        <v>629</v>
      </c>
      <c r="L116">
        <v>0</v>
      </c>
      <c r="M116">
        <v>112</v>
      </c>
      <c r="N116">
        <v>112</v>
      </c>
      <c r="O116">
        <v>57</v>
      </c>
      <c r="P116">
        <v>1810</v>
      </c>
      <c r="Q116">
        <v>2130</v>
      </c>
      <c r="R116">
        <v>3010</v>
      </c>
      <c r="S116">
        <v>2080</v>
      </c>
    </row>
    <row r="117" spans="1:19" x14ac:dyDescent="0.4">
      <c r="A117" t="s">
        <v>67</v>
      </c>
      <c r="B117">
        <v>202110</v>
      </c>
      <c r="C117">
        <v>14400</v>
      </c>
      <c r="D117" t="s">
        <v>64</v>
      </c>
      <c r="E117">
        <v>2</v>
      </c>
      <c r="F117">
        <v>2.5</v>
      </c>
      <c r="G117">
        <v>2</v>
      </c>
      <c r="H117">
        <v>2.2000000000000002</v>
      </c>
      <c r="I117">
        <v>2.2000000000000002</v>
      </c>
      <c r="J117" t="s">
        <v>258</v>
      </c>
      <c r="K117" s="28" t="s">
        <v>630</v>
      </c>
      <c r="L117">
        <v>5</v>
      </c>
      <c r="M117">
        <v>209</v>
      </c>
      <c r="N117">
        <v>214</v>
      </c>
      <c r="O117">
        <v>512</v>
      </c>
      <c r="P117">
        <v>2</v>
      </c>
      <c r="Q117">
        <v>2.4</v>
      </c>
      <c r="R117">
        <v>158</v>
      </c>
      <c r="S117">
        <v>2</v>
      </c>
    </row>
    <row r="118" spans="1:19" x14ac:dyDescent="0.4">
      <c r="A118" t="s">
        <v>67</v>
      </c>
      <c r="B118">
        <v>202110</v>
      </c>
      <c r="C118">
        <v>14500</v>
      </c>
      <c r="D118" t="s">
        <v>62</v>
      </c>
      <c r="E118" t="s">
        <v>63</v>
      </c>
      <c r="F118" t="s">
        <v>63</v>
      </c>
      <c r="G118" t="s">
        <v>63</v>
      </c>
      <c r="H118" t="s">
        <v>63</v>
      </c>
      <c r="I118">
        <v>1820</v>
      </c>
      <c r="J118" t="s">
        <v>68</v>
      </c>
      <c r="K118" t="s">
        <v>68</v>
      </c>
      <c r="L118">
        <v>0</v>
      </c>
      <c r="M118">
        <v>0</v>
      </c>
      <c r="N118">
        <v>0</v>
      </c>
      <c r="O118">
        <v>5</v>
      </c>
      <c r="P118">
        <v>1710</v>
      </c>
      <c r="Q118">
        <v>2030</v>
      </c>
      <c r="R118">
        <v>2900</v>
      </c>
      <c r="S118">
        <v>2450</v>
      </c>
    </row>
    <row r="119" spans="1:19" x14ac:dyDescent="0.4">
      <c r="A119" t="s">
        <v>67</v>
      </c>
      <c r="B119">
        <v>202110</v>
      </c>
      <c r="C119">
        <v>14500</v>
      </c>
      <c r="D119" t="s">
        <v>64</v>
      </c>
      <c r="E119">
        <v>2.5</v>
      </c>
      <c r="F119">
        <v>3.1</v>
      </c>
      <c r="G119">
        <v>2</v>
      </c>
      <c r="H119">
        <v>2.2000000000000002</v>
      </c>
      <c r="I119">
        <v>2.2000000000000002</v>
      </c>
      <c r="J119" t="s">
        <v>260</v>
      </c>
      <c r="K119" t="s">
        <v>631</v>
      </c>
      <c r="L119">
        <v>234</v>
      </c>
      <c r="M119">
        <v>240</v>
      </c>
      <c r="N119">
        <v>474</v>
      </c>
      <c r="O119">
        <v>3846</v>
      </c>
      <c r="P119">
        <v>2.1</v>
      </c>
      <c r="Q119">
        <v>2.6</v>
      </c>
      <c r="R119">
        <v>225</v>
      </c>
      <c r="S119">
        <v>2</v>
      </c>
    </row>
    <row r="120" spans="1:19" x14ac:dyDescent="0.4">
      <c r="A120" t="s">
        <v>67</v>
      </c>
      <c r="B120">
        <v>202110</v>
      </c>
      <c r="C120">
        <v>14600</v>
      </c>
      <c r="D120" t="s">
        <v>62</v>
      </c>
      <c r="E120" t="s">
        <v>63</v>
      </c>
      <c r="F120" t="s">
        <v>63</v>
      </c>
      <c r="G120" t="s">
        <v>63</v>
      </c>
      <c r="H120" t="s">
        <v>63</v>
      </c>
      <c r="I120">
        <v>1720</v>
      </c>
      <c r="J120" t="s">
        <v>68</v>
      </c>
      <c r="K120" t="s">
        <v>68</v>
      </c>
      <c r="L120">
        <v>0</v>
      </c>
      <c r="M120">
        <v>0</v>
      </c>
      <c r="N120">
        <v>0</v>
      </c>
      <c r="O120">
        <v>0</v>
      </c>
      <c r="P120">
        <v>1610</v>
      </c>
      <c r="Q120">
        <v>1930</v>
      </c>
      <c r="R120" t="s">
        <v>63</v>
      </c>
      <c r="S120" t="s">
        <v>63</v>
      </c>
    </row>
    <row r="121" spans="1:19" x14ac:dyDescent="0.4">
      <c r="A121" t="s">
        <v>67</v>
      </c>
      <c r="B121">
        <v>202110</v>
      </c>
      <c r="C121">
        <v>14600</v>
      </c>
      <c r="D121" t="s">
        <v>64</v>
      </c>
      <c r="E121">
        <v>3</v>
      </c>
      <c r="F121">
        <v>3</v>
      </c>
      <c r="G121">
        <v>2.1</v>
      </c>
      <c r="H121">
        <v>2.5</v>
      </c>
      <c r="I121">
        <v>2.5</v>
      </c>
      <c r="J121" t="s">
        <v>261</v>
      </c>
      <c r="K121" s="28" t="s">
        <v>632</v>
      </c>
      <c r="L121">
        <v>107</v>
      </c>
      <c r="M121">
        <v>122</v>
      </c>
      <c r="N121">
        <v>229</v>
      </c>
      <c r="O121">
        <v>2267</v>
      </c>
      <c r="P121">
        <v>2.2999999999999998</v>
      </c>
      <c r="Q121">
        <v>3</v>
      </c>
      <c r="R121">
        <v>200</v>
      </c>
      <c r="S121">
        <v>2.1</v>
      </c>
    </row>
    <row r="122" spans="1:19" x14ac:dyDescent="0.4">
      <c r="A122" t="s">
        <v>67</v>
      </c>
      <c r="B122">
        <v>202110</v>
      </c>
      <c r="C122">
        <v>14700</v>
      </c>
      <c r="D122" t="s">
        <v>62</v>
      </c>
      <c r="E122" t="s">
        <v>63</v>
      </c>
      <c r="F122" t="s">
        <v>63</v>
      </c>
      <c r="G122" t="s">
        <v>63</v>
      </c>
      <c r="H122" t="s">
        <v>63</v>
      </c>
      <c r="I122">
        <v>1620</v>
      </c>
      <c r="J122" t="s">
        <v>68</v>
      </c>
      <c r="K122" t="s">
        <v>68</v>
      </c>
      <c r="L122">
        <v>0</v>
      </c>
      <c r="M122">
        <v>0</v>
      </c>
      <c r="N122">
        <v>0</v>
      </c>
      <c r="O122">
        <v>0</v>
      </c>
      <c r="P122">
        <v>1520</v>
      </c>
      <c r="Q122">
        <v>1830</v>
      </c>
      <c r="R122" t="s">
        <v>63</v>
      </c>
      <c r="S122" t="s">
        <v>63</v>
      </c>
    </row>
    <row r="123" spans="1:19" x14ac:dyDescent="0.4">
      <c r="A123" t="s">
        <v>67</v>
      </c>
      <c r="B123">
        <v>202110</v>
      </c>
      <c r="C123">
        <v>14700</v>
      </c>
      <c r="D123" t="s">
        <v>64</v>
      </c>
      <c r="E123">
        <v>2.6</v>
      </c>
      <c r="F123">
        <v>3.7</v>
      </c>
      <c r="G123">
        <v>2.4</v>
      </c>
      <c r="H123">
        <v>3.4</v>
      </c>
      <c r="I123">
        <v>3.4</v>
      </c>
      <c r="J123" t="s">
        <v>100</v>
      </c>
      <c r="K123" t="s">
        <v>633</v>
      </c>
      <c r="L123">
        <v>10</v>
      </c>
      <c r="M123">
        <v>539</v>
      </c>
      <c r="N123">
        <v>549</v>
      </c>
      <c r="O123">
        <v>1879</v>
      </c>
      <c r="P123">
        <v>2.8</v>
      </c>
      <c r="Q123">
        <v>3.4</v>
      </c>
      <c r="R123">
        <v>180</v>
      </c>
      <c r="S123">
        <v>2.4</v>
      </c>
    </row>
    <row r="124" spans="1:19" x14ac:dyDescent="0.4">
      <c r="A124" t="s">
        <v>67</v>
      </c>
      <c r="B124">
        <v>202110</v>
      </c>
      <c r="C124">
        <v>14800</v>
      </c>
      <c r="D124" t="s">
        <v>62</v>
      </c>
      <c r="E124" t="s">
        <v>63</v>
      </c>
      <c r="F124" t="s">
        <v>63</v>
      </c>
      <c r="G124" t="s">
        <v>63</v>
      </c>
      <c r="H124" t="s">
        <v>63</v>
      </c>
      <c r="I124">
        <v>1520</v>
      </c>
      <c r="J124" t="s">
        <v>68</v>
      </c>
      <c r="K124" t="s">
        <v>68</v>
      </c>
      <c r="L124">
        <v>0</v>
      </c>
      <c r="M124">
        <v>0</v>
      </c>
      <c r="N124">
        <v>0</v>
      </c>
      <c r="O124">
        <v>0</v>
      </c>
      <c r="P124">
        <v>1420</v>
      </c>
      <c r="Q124">
        <v>1730</v>
      </c>
      <c r="R124" t="s">
        <v>63</v>
      </c>
      <c r="S124" t="s">
        <v>63</v>
      </c>
    </row>
    <row r="125" spans="1:19" x14ac:dyDescent="0.4">
      <c r="A125" t="s">
        <v>67</v>
      </c>
      <c r="B125">
        <v>202110</v>
      </c>
      <c r="C125">
        <v>14800</v>
      </c>
      <c r="D125" t="s">
        <v>64</v>
      </c>
      <c r="E125">
        <v>2.6</v>
      </c>
      <c r="F125">
        <v>4.5999999999999996</v>
      </c>
      <c r="G125">
        <v>2.6</v>
      </c>
      <c r="H125">
        <v>4</v>
      </c>
      <c r="I125">
        <v>4</v>
      </c>
      <c r="J125" t="s">
        <v>634</v>
      </c>
      <c r="K125" t="s">
        <v>311</v>
      </c>
      <c r="L125">
        <v>74</v>
      </c>
      <c r="M125">
        <v>1120</v>
      </c>
      <c r="N125">
        <v>1194</v>
      </c>
      <c r="O125">
        <v>2134</v>
      </c>
      <c r="P125">
        <v>3.5</v>
      </c>
      <c r="Q125">
        <v>4</v>
      </c>
      <c r="R125">
        <v>258</v>
      </c>
      <c r="S125">
        <v>2.6</v>
      </c>
    </row>
    <row r="126" spans="1:19" x14ac:dyDescent="0.4">
      <c r="A126" t="s">
        <v>67</v>
      </c>
      <c r="B126">
        <v>202110</v>
      </c>
      <c r="C126">
        <v>14900</v>
      </c>
      <c r="D126" t="s">
        <v>62</v>
      </c>
      <c r="E126" t="s">
        <v>63</v>
      </c>
      <c r="F126" t="s">
        <v>63</v>
      </c>
      <c r="G126" t="s">
        <v>63</v>
      </c>
      <c r="H126" t="s">
        <v>63</v>
      </c>
      <c r="I126">
        <v>1430</v>
      </c>
      <c r="J126" t="s">
        <v>68</v>
      </c>
      <c r="K126" t="s">
        <v>68</v>
      </c>
      <c r="L126">
        <v>0</v>
      </c>
      <c r="M126">
        <v>0</v>
      </c>
      <c r="N126">
        <v>0</v>
      </c>
      <c r="O126">
        <v>0</v>
      </c>
      <c r="P126">
        <v>1310</v>
      </c>
      <c r="Q126">
        <v>1560</v>
      </c>
      <c r="R126" t="s">
        <v>63</v>
      </c>
      <c r="S126" t="s">
        <v>63</v>
      </c>
    </row>
    <row r="127" spans="1:19" x14ac:dyDescent="0.4">
      <c r="A127" t="s">
        <v>67</v>
      </c>
      <c r="B127">
        <v>202110</v>
      </c>
      <c r="C127">
        <v>14900</v>
      </c>
      <c r="D127" t="s">
        <v>64</v>
      </c>
      <c r="E127">
        <v>3.5</v>
      </c>
      <c r="F127">
        <v>5.5</v>
      </c>
      <c r="G127">
        <v>3.1</v>
      </c>
      <c r="H127">
        <v>4.7</v>
      </c>
      <c r="I127">
        <v>4.7</v>
      </c>
      <c r="J127" t="s">
        <v>266</v>
      </c>
      <c r="K127" t="s">
        <v>635</v>
      </c>
      <c r="L127">
        <v>134</v>
      </c>
      <c r="M127">
        <v>1949</v>
      </c>
      <c r="N127">
        <v>2083</v>
      </c>
      <c r="O127">
        <v>2026</v>
      </c>
      <c r="P127">
        <v>4.5999999999999996</v>
      </c>
      <c r="Q127">
        <v>5.0999999999999996</v>
      </c>
      <c r="R127">
        <v>228</v>
      </c>
      <c r="S127">
        <v>3.1</v>
      </c>
    </row>
    <row r="128" spans="1:19" x14ac:dyDescent="0.4">
      <c r="A128" t="s">
        <v>67</v>
      </c>
      <c r="B128">
        <v>202110</v>
      </c>
      <c r="C128">
        <v>15000</v>
      </c>
      <c r="D128" t="s">
        <v>62</v>
      </c>
      <c r="E128" t="s">
        <v>63</v>
      </c>
      <c r="F128" t="s">
        <v>63</v>
      </c>
      <c r="G128" t="s">
        <v>63</v>
      </c>
      <c r="H128" t="s">
        <v>63</v>
      </c>
      <c r="I128">
        <v>1330</v>
      </c>
      <c r="J128" t="s">
        <v>68</v>
      </c>
      <c r="K128" t="s">
        <v>68</v>
      </c>
      <c r="L128">
        <v>0</v>
      </c>
      <c r="M128">
        <v>0</v>
      </c>
      <c r="N128">
        <v>0</v>
      </c>
      <c r="O128">
        <v>0</v>
      </c>
      <c r="P128">
        <v>1210</v>
      </c>
      <c r="Q128">
        <v>1460</v>
      </c>
      <c r="R128" t="s">
        <v>63</v>
      </c>
      <c r="S128" t="s">
        <v>63</v>
      </c>
    </row>
    <row r="129" spans="1:19" x14ac:dyDescent="0.4">
      <c r="A129" t="s">
        <v>67</v>
      </c>
      <c r="B129">
        <v>202110</v>
      </c>
      <c r="C129">
        <v>15000</v>
      </c>
      <c r="D129" t="s">
        <v>64</v>
      </c>
      <c r="E129">
        <v>7</v>
      </c>
      <c r="F129">
        <v>7</v>
      </c>
      <c r="G129">
        <v>3.4</v>
      </c>
      <c r="H129">
        <v>6.3</v>
      </c>
      <c r="I129">
        <v>6.3</v>
      </c>
      <c r="J129" t="s">
        <v>225</v>
      </c>
      <c r="K129" s="28" t="s">
        <v>636</v>
      </c>
      <c r="L129">
        <v>801</v>
      </c>
      <c r="M129">
        <v>3801</v>
      </c>
      <c r="N129">
        <v>4602</v>
      </c>
      <c r="O129">
        <v>13681</v>
      </c>
      <c r="P129">
        <v>6</v>
      </c>
      <c r="Q129">
        <v>6.3</v>
      </c>
      <c r="R129">
        <v>295</v>
      </c>
      <c r="S129">
        <v>3.4</v>
      </c>
    </row>
    <row r="130" spans="1:19" x14ac:dyDescent="0.4">
      <c r="A130" t="s">
        <v>67</v>
      </c>
      <c r="B130">
        <v>202110</v>
      </c>
      <c r="C130">
        <v>15100</v>
      </c>
      <c r="D130" t="s">
        <v>62</v>
      </c>
      <c r="E130" t="s">
        <v>63</v>
      </c>
      <c r="F130" t="s">
        <v>63</v>
      </c>
      <c r="G130" t="s">
        <v>63</v>
      </c>
      <c r="H130" t="s">
        <v>63</v>
      </c>
      <c r="I130">
        <v>1230</v>
      </c>
      <c r="J130" t="s">
        <v>68</v>
      </c>
      <c r="K130" t="s">
        <v>68</v>
      </c>
      <c r="L130">
        <v>0</v>
      </c>
      <c r="M130">
        <v>0</v>
      </c>
      <c r="N130">
        <v>0</v>
      </c>
      <c r="O130">
        <v>0</v>
      </c>
      <c r="P130">
        <v>1110</v>
      </c>
      <c r="Q130">
        <v>1370</v>
      </c>
      <c r="R130" t="s">
        <v>63</v>
      </c>
      <c r="S130" t="s">
        <v>63</v>
      </c>
    </row>
    <row r="131" spans="1:19" x14ac:dyDescent="0.4">
      <c r="A131" t="s">
        <v>67</v>
      </c>
      <c r="B131">
        <v>202110</v>
      </c>
      <c r="C131">
        <v>15100</v>
      </c>
      <c r="D131" t="s">
        <v>64</v>
      </c>
      <c r="E131">
        <v>5.5</v>
      </c>
      <c r="F131">
        <v>9.4</v>
      </c>
      <c r="G131">
        <v>4.3</v>
      </c>
      <c r="H131">
        <v>9.3000000000000007</v>
      </c>
      <c r="I131">
        <v>9.3000000000000007</v>
      </c>
      <c r="J131" t="s">
        <v>265</v>
      </c>
      <c r="K131" t="s">
        <v>637</v>
      </c>
      <c r="L131">
        <v>348</v>
      </c>
      <c r="M131">
        <v>902</v>
      </c>
      <c r="N131">
        <v>1250</v>
      </c>
      <c r="O131">
        <v>3036</v>
      </c>
      <c r="P131">
        <v>7.5</v>
      </c>
      <c r="Q131">
        <v>9.4</v>
      </c>
      <c r="R131">
        <v>309</v>
      </c>
      <c r="S131">
        <v>4.3</v>
      </c>
    </row>
    <row r="132" spans="1:19" x14ac:dyDescent="0.4">
      <c r="A132" t="s">
        <v>67</v>
      </c>
      <c r="B132">
        <v>202110</v>
      </c>
      <c r="C132">
        <v>15200</v>
      </c>
      <c r="D132" t="s">
        <v>62</v>
      </c>
      <c r="E132" t="s">
        <v>63</v>
      </c>
      <c r="F132" t="s">
        <v>63</v>
      </c>
      <c r="G132" t="s">
        <v>63</v>
      </c>
      <c r="H132" t="s">
        <v>63</v>
      </c>
      <c r="I132">
        <v>1130</v>
      </c>
      <c r="J132" t="s">
        <v>68</v>
      </c>
      <c r="K132" t="s">
        <v>68</v>
      </c>
      <c r="L132">
        <v>0</v>
      </c>
      <c r="M132">
        <v>0</v>
      </c>
      <c r="N132">
        <v>0</v>
      </c>
      <c r="O132">
        <v>32</v>
      </c>
      <c r="P132">
        <v>1110</v>
      </c>
      <c r="Q132">
        <v>1170</v>
      </c>
      <c r="R132">
        <v>1120</v>
      </c>
      <c r="S132">
        <v>1070</v>
      </c>
    </row>
    <row r="133" spans="1:19" x14ac:dyDescent="0.4">
      <c r="A133" t="s">
        <v>67</v>
      </c>
      <c r="B133">
        <v>202110</v>
      </c>
      <c r="C133">
        <v>15200</v>
      </c>
      <c r="D133" t="s">
        <v>64</v>
      </c>
      <c r="E133">
        <v>8.9</v>
      </c>
      <c r="F133">
        <v>12</v>
      </c>
      <c r="G133">
        <v>5.6</v>
      </c>
      <c r="H133">
        <v>10.5</v>
      </c>
      <c r="I133">
        <v>10.5</v>
      </c>
      <c r="J133" t="s">
        <v>96</v>
      </c>
      <c r="K133" t="s">
        <v>638</v>
      </c>
      <c r="L133">
        <v>376</v>
      </c>
      <c r="M133">
        <v>3962</v>
      </c>
      <c r="N133">
        <v>4338</v>
      </c>
      <c r="O133">
        <v>5182</v>
      </c>
      <c r="P133">
        <v>11</v>
      </c>
      <c r="Q133">
        <v>12</v>
      </c>
      <c r="R133">
        <v>253</v>
      </c>
      <c r="S133">
        <v>5.6</v>
      </c>
    </row>
    <row r="134" spans="1:19" x14ac:dyDescent="0.4">
      <c r="A134" t="s">
        <v>67</v>
      </c>
      <c r="B134">
        <v>202110</v>
      </c>
      <c r="C134">
        <v>15300</v>
      </c>
      <c r="D134" t="s">
        <v>62</v>
      </c>
      <c r="E134" t="s">
        <v>63</v>
      </c>
      <c r="F134" t="s">
        <v>63</v>
      </c>
      <c r="G134" t="s">
        <v>63</v>
      </c>
      <c r="H134" t="s">
        <v>63</v>
      </c>
      <c r="I134">
        <v>1030</v>
      </c>
      <c r="J134" t="s">
        <v>68</v>
      </c>
      <c r="K134" t="s">
        <v>68</v>
      </c>
      <c r="L134">
        <v>0</v>
      </c>
      <c r="M134">
        <v>0</v>
      </c>
      <c r="N134">
        <v>0</v>
      </c>
      <c r="O134">
        <v>0</v>
      </c>
      <c r="P134">
        <v>920</v>
      </c>
      <c r="Q134">
        <v>1170</v>
      </c>
      <c r="R134" t="s">
        <v>63</v>
      </c>
      <c r="S134" t="s">
        <v>63</v>
      </c>
    </row>
    <row r="135" spans="1:19" x14ac:dyDescent="0.4">
      <c r="A135" t="s">
        <v>67</v>
      </c>
      <c r="B135">
        <v>202110</v>
      </c>
      <c r="C135">
        <v>15300</v>
      </c>
      <c r="D135" t="s">
        <v>64</v>
      </c>
      <c r="E135">
        <v>10</v>
      </c>
      <c r="F135">
        <v>16</v>
      </c>
      <c r="G135">
        <v>7.6</v>
      </c>
      <c r="H135">
        <v>12</v>
      </c>
      <c r="I135">
        <v>12</v>
      </c>
      <c r="J135" t="s">
        <v>101</v>
      </c>
      <c r="K135" t="s">
        <v>639</v>
      </c>
      <c r="L135">
        <v>364</v>
      </c>
      <c r="M135">
        <v>2033</v>
      </c>
      <c r="N135">
        <v>2397</v>
      </c>
      <c r="O135">
        <v>3029</v>
      </c>
      <c r="P135">
        <v>12</v>
      </c>
      <c r="Q135">
        <v>15.5</v>
      </c>
      <c r="R135">
        <v>308</v>
      </c>
      <c r="S135">
        <v>7.6</v>
      </c>
    </row>
    <row r="136" spans="1:19" x14ac:dyDescent="0.4">
      <c r="A136" t="s">
        <v>67</v>
      </c>
      <c r="B136">
        <v>202110</v>
      </c>
      <c r="C136">
        <v>15400</v>
      </c>
      <c r="D136" t="s">
        <v>62</v>
      </c>
      <c r="E136" t="s">
        <v>63</v>
      </c>
      <c r="F136" t="s">
        <v>63</v>
      </c>
      <c r="G136" t="s">
        <v>63</v>
      </c>
      <c r="H136" t="s">
        <v>63</v>
      </c>
      <c r="I136">
        <v>940</v>
      </c>
      <c r="J136" t="s">
        <v>68</v>
      </c>
      <c r="K136" t="s">
        <v>68</v>
      </c>
      <c r="L136">
        <v>0</v>
      </c>
      <c r="M136">
        <v>0</v>
      </c>
      <c r="N136">
        <v>0</v>
      </c>
      <c r="O136">
        <v>0</v>
      </c>
      <c r="P136">
        <v>825</v>
      </c>
      <c r="Q136">
        <v>1080</v>
      </c>
      <c r="R136" t="s">
        <v>63</v>
      </c>
      <c r="S136" t="s">
        <v>63</v>
      </c>
    </row>
    <row r="137" spans="1:19" x14ac:dyDescent="0.4">
      <c r="A137" t="s">
        <v>67</v>
      </c>
      <c r="B137">
        <v>202110</v>
      </c>
      <c r="C137">
        <v>15400</v>
      </c>
      <c r="D137" t="s">
        <v>64</v>
      </c>
      <c r="E137">
        <v>14.5</v>
      </c>
      <c r="F137">
        <v>21.5</v>
      </c>
      <c r="G137">
        <v>10</v>
      </c>
      <c r="H137">
        <v>21</v>
      </c>
      <c r="I137">
        <v>21</v>
      </c>
      <c r="J137" t="s">
        <v>96</v>
      </c>
      <c r="K137" t="s">
        <v>640</v>
      </c>
      <c r="L137">
        <v>872</v>
      </c>
      <c r="M137">
        <v>4672</v>
      </c>
      <c r="N137">
        <v>5544</v>
      </c>
      <c r="O137">
        <v>4593</v>
      </c>
      <c r="P137">
        <v>19</v>
      </c>
      <c r="Q137">
        <v>22</v>
      </c>
      <c r="R137">
        <v>331</v>
      </c>
      <c r="S137">
        <v>10</v>
      </c>
    </row>
    <row r="138" spans="1:19" x14ac:dyDescent="0.4">
      <c r="A138" t="s">
        <v>67</v>
      </c>
      <c r="B138">
        <v>202110</v>
      </c>
      <c r="C138">
        <v>15500</v>
      </c>
      <c r="D138" t="s">
        <v>62</v>
      </c>
      <c r="E138">
        <v>900</v>
      </c>
      <c r="F138">
        <v>900</v>
      </c>
      <c r="G138">
        <v>900</v>
      </c>
      <c r="H138">
        <v>900</v>
      </c>
      <c r="I138">
        <v>850</v>
      </c>
      <c r="J138" t="s">
        <v>381</v>
      </c>
      <c r="K138" t="s">
        <v>641</v>
      </c>
      <c r="L138">
        <v>0</v>
      </c>
      <c r="M138">
        <v>24</v>
      </c>
      <c r="N138">
        <v>24</v>
      </c>
      <c r="O138">
        <v>157</v>
      </c>
      <c r="P138">
        <v>735</v>
      </c>
      <c r="Q138">
        <v>990</v>
      </c>
      <c r="R138">
        <v>1400</v>
      </c>
      <c r="S138">
        <v>785</v>
      </c>
    </row>
    <row r="139" spans="1:19" x14ac:dyDescent="0.4">
      <c r="A139" t="s">
        <v>67</v>
      </c>
      <c r="B139">
        <v>202110</v>
      </c>
      <c r="C139">
        <v>15500</v>
      </c>
      <c r="D139" t="s">
        <v>64</v>
      </c>
      <c r="E139">
        <v>15.5</v>
      </c>
      <c r="F139">
        <v>28.5</v>
      </c>
      <c r="G139">
        <v>13.5</v>
      </c>
      <c r="H139">
        <v>28.5</v>
      </c>
      <c r="I139">
        <v>28.5</v>
      </c>
      <c r="J139" t="s">
        <v>130</v>
      </c>
      <c r="K139" t="s">
        <v>642</v>
      </c>
      <c r="L139">
        <v>1582</v>
      </c>
      <c r="M139">
        <v>4560</v>
      </c>
      <c r="N139">
        <v>6142</v>
      </c>
      <c r="O139">
        <v>7399</v>
      </c>
      <c r="P139">
        <v>28</v>
      </c>
      <c r="Q139">
        <v>29</v>
      </c>
      <c r="R139">
        <v>380</v>
      </c>
      <c r="S139">
        <v>13.5</v>
      </c>
    </row>
    <row r="140" spans="1:19" x14ac:dyDescent="0.4">
      <c r="A140" t="s">
        <v>67</v>
      </c>
      <c r="B140">
        <v>202110</v>
      </c>
      <c r="C140">
        <v>15600</v>
      </c>
      <c r="D140" t="s">
        <v>62</v>
      </c>
      <c r="E140" t="s">
        <v>63</v>
      </c>
      <c r="F140" t="s">
        <v>63</v>
      </c>
      <c r="G140" t="s">
        <v>63</v>
      </c>
      <c r="H140" t="s">
        <v>63</v>
      </c>
      <c r="I140">
        <v>760</v>
      </c>
      <c r="J140" t="s">
        <v>68</v>
      </c>
      <c r="K140" t="s">
        <v>68</v>
      </c>
      <c r="L140">
        <v>0</v>
      </c>
      <c r="M140">
        <v>0</v>
      </c>
      <c r="N140">
        <v>0</v>
      </c>
      <c r="O140">
        <v>43</v>
      </c>
      <c r="P140">
        <v>640</v>
      </c>
      <c r="Q140">
        <v>900</v>
      </c>
      <c r="R140">
        <v>1080</v>
      </c>
      <c r="S140">
        <v>740</v>
      </c>
    </row>
    <row r="141" spans="1:19" x14ac:dyDescent="0.4">
      <c r="A141" t="s">
        <v>67</v>
      </c>
      <c r="B141">
        <v>202110</v>
      </c>
      <c r="C141">
        <v>15600</v>
      </c>
      <c r="D141" t="s">
        <v>64</v>
      </c>
      <c r="E141">
        <v>18</v>
      </c>
      <c r="F141">
        <v>38</v>
      </c>
      <c r="G141">
        <v>18</v>
      </c>
      <c r="H141">
        <v>37.5</v>
      </c>
      <c r="I141">
        <v>37.5</v>
      </c>
      <c r="J141" t="s">
        <v>94</v>
      </c>
      <c r="K141" t="s">
        <v>643</v>
      </c>
      <c r="L141">
        <v>571</v>
      </c>
      <c r="M141">
        <v>3411</v>
      </c>
      <c r="N141">
        <v>3982</v>
      </c>
      <c r="O141">
        <v>4536</v>
      </c>
      <c r="P141">
        <v>37</v>
      </c>
      <c r="Q141">
        <v>39</v>
      </c>
      <c r="R141">
        <v>402</v>
      </c>
      <c r="S141">
        <v>18</v>
      </c>
    </row>
    <row r="142" spans="1:19" x14ac:dyDescent="0.4">
      <c r="A142" t="s">
        <v>67</v>
      </c>
      <c r="B142">
        <v>202110</v>
      </c>
      <c r="C142">
        <v>15700</v>
      </c>
      <c r="D142" t="s">
        <v>62</v>
      </c>
      <c r="E142" t="s">
        <v>63</v>
      </c>
      <c r="F142" t="s">
        <v>63</v>
      </c>
      <c r="G142" t="s">
        <v>63</v>
      </c>
      <c r="H142" t="s">
        <v>63</v>
      </c>
      <c r="I142">
        <v>670</v>
      </c>
      <c r="J142" t="s">
        <v>68</v>
      </c>
      <c r="K142" t="s">
        <v>68</v>
      </c>
      <c r="L142">
        <v>3</v>
      </c>
      <c r="M142">
        <v>0</v>
      </c>
      <c r="N142">
        <v>3</v>
      </c>
      <c r="O142">
        <v>18</v>
      </c>
      <c r="P142">
        <v>550</v>
      </c>
      <c r="Q142">
        <v>810</v>
      </c>
      <c r="R142">
        <v>1500</v>
      </c>
      <c r="S142">
        <v>660</v>
      </c>
    </row>
    <row r="143" spans="1:19" x14ac:dyDescent="0.4">
      <c r="A143" t="s">
        <v>67</v>
      </c>
      <c r="B143">
        <v>202110</v>
      </c>
      <c r="C143">
        <v>15700</v>
      </c>
      <c r="D143" t="s">
        <v>64</v>
      </c>
      <c r="E143">
        <v>34</v>
      </c>
      <c r="F143">
        <v>50</v>
      </c>
      <c r="G143">
        <v>26</v>
      </c>
      <c r="H143">
        <v>50</v>
      </c>
      <c r="I143">
        <v>50</v>
      </c>
      <c r="J143" t="s">
        <v>101</v>
      </c>
      <c r="K143" t="s">
        <v>123</v>
      </c>
      <c r="L143">
        <v>852</v>
      </c>
      <c r="M143">
        <v>3707</v>
      </c>
      <c r="N143">
        <v>4559</v>
      </c>
      <c r="O143">
        <v>3851</v>
      </c>
      <c r="P143">
        <v>49.5</v>
      </c>
      <c r="Q143">
        <v>50</v>
      </c>
      <c r="R143">
        <v>448</v>
      </c>
      <c r="S143">
        <v>20</v>
      </c>
    </row>
    <row r="144" spans="1:19" x14ac:dyDescent="0.4">
      <c r="A144" t="s">
        <v>67</v>
      </c>
      <c r="B144">
        <v>202110</v>
      </c>
      <c r="C144">
        <v>15800</v>
      </c>
      <c r="D144" t="s">
        <v>62</v>
      </c>
      <c r="E144">
        <v>610</v>
      </c>
      <c r="F144">
        <v>630</v>
      </c>
      <c r="G144">
        <v>590</v>
      </c>
      <c r="H144">
        <v>590</v>
      </c>
      <c r="I144">
        <v>590</v>
      </c>
      <c r="J144" t="s">
        <v>229</v>
      </c>
      <c r="K144" t="s">
        <v>644</v>
      </c>
      <c r="L144">
        <v>1</v>
      </c>
      <c r="M144">
        <v>14</v>
      </c>
      <c r="N144">
        <v>15</v>
      </c>
      <c r="O144">
        <v>199</v>
      </c>
      <c r="P144">
        <v>464</v>
      </c>
      <c r="Q144">
        <v>720</v>
      </c>
      <c r="R144">
        <v>1660</v>
      </c>
      <c r="S144">
        <v>555</v>
      </c>
    </row>
    <row r="145" spans="1:19" x14ac:dyDescent="0.4">
      <c r="A145" t="s">
        <v>67</v>
      </c>
      <c r="B145">
        <v>202110</v>
      </c>
      <c r="C145">
        <v>15800</v>
      </c>
      <c r="D145" t="s">
        <v>64</v>
      </c>
      <c r="E145">
        <v>42</v>
      </c>
      <c r="F145">
        <v>65</v>
      </c>
      <c r="G145">
        <v>34.5</v>
      </c>
      <c r="H145">
        <v>63</v>
      </c>
      <c r="I145">
        <v>63</v>
      </c>
      <c r="J145" t="s">
        <v>91</v>
      </c>
      <c r="K145" t="s">
        <v>645</v>
      </c>
      <c r="L145">
        <v>1197</v>
      </c>
      <c r="M145">
        <v>5587</v>
      </c>
      <c r="N145">
        <v>6784</v>
      </c>
      <c r="O145">
        <v>7286</v>
      </c>
      <c r="P145">
        <v>63</v>
      </c>
      <c r="Q145">
        <v>64</v>
      </c>
      <c r="R145">
        <v>487</v>
      </c>
      <c r="S145">
        <v>33.5</v>
      </c>
    </row>
    <row r="146" spans="1:19" x14ac:dyDescent="0.4">
      <c r="A146" t="s">
        <v>67</v>
      </c>
      <c r="B146">
        <v>202110</v>
      </c>
      <c r="C146">
        <v>15900</v>
      </c>
      <c r="D146" t="s">
        <v>62</v>
      </c>
      <c r="E146">
        <v>615</v>
      </c>
      <c r="F146">
        <v>615</v>
      </c>
      <c r="G146">
        <v>505</v>
      </c>
      <c r="H146">
        <v>505</v>
      </c>
      <c r="I146">
        <v>505</v>
      </c>
      <c r="J146" t="s">
        <v>229</v>
      </c>
      <c r="K146" t="s">
        <v>322</v>
      </c>
      <c r="L146">
        <v>1</v>
      </c>
      <c r="M146">
        <v>32</v>
      </c>
      <c r="N146">
        <v>33</v>
      </c>
      <c r="O146">
        <v>99</v>
      </c>
      <c r="P146">
        <v>379</v>
      </c>
      <c r="Q146">
        <v>515</v>
      </c>
      <c r="R146">
        <v>1060</v>
      </c>
      <c r="S146">
        <v>480</v>
      </c>
    </row>
    <row r="147" spans="1:19" x14ac:dyDescent="0.4">
      <c r="A147" t="s">
        <v>67</v>
      </c>
      <c r="B147">
        <v>202110</v>
      </c>
      <c r="C147">
        <v>15900</v>
      </c>
      <c r="D147" t="s">
        <v>64</v>
      </c>
      <c r="E147">
        <v>72</v>
      </c>
      <c r="F147">
        <v>83</v>
      </c>
      <c r="G147">
        <v>44.5</v>
      </c>
      <c r="H147">
        <v>83</v>
      </c>
      <c r="I147">
        <v>83</v>
      </c>
      <c r="J147" t="s">
        <v>95</v>
      </c>
      <c r="K147" t="s">
        <v>646</v>
      </c>
      <c r="L147">
        <v>1201</v>
      </c>
      <c r="M147">
        <v>3446</v>
      </c>
      <c r="N147">
        <v>4647</v>
      </c>
      <c r="O147">
        <v>5016</v>
      </c>
      <c r="P147">
        <v>82</v>
      </c>
      <c r="Q147">
        <v>83</v>
      </c>
      <c r="R147">
        <v>450</v>
      </c>
      <c r="S147">
        <v>38</v>
      </c>
    </row>
    <row r="148" spans="1:19" x14ac:dyDescent="0.4">
      <c r="A148" t="s">
        <v>67</v>
      </c>
      <c r="B148">
        <v>202110</v>
      </c>
      <c r="C148">
        <v>16000</v>
      </c>
      <c r="D148" t="s">
        <v>62</v>
      </c>
      <c r="E148">
        <v>635</v>
      </c>
      <c r="F148">
        <v>635</v>
      </c>
      <c r="G148">
        <v>427</v>
      </c>
      <c r="H148">
        <v>430</v>
      </c>
      <c r="I148">
        <v>423</v>
      </c>
      <c r="J148" t="s">
        <v>647</v>
      </c>
      <c r="K148" t="s">
        <v>648</v>
      </c>
      <c r="L148">
        <v>13</v>
      </c>
      <c r="M148">
        <v>107</v>
      </c>
      <c r="N148">
        <v>120</v>
      </c>
      <c r="O148">
        <v>257</v>
      </c>
      <c r="P148">
        <v>422</v>
      </c>
      <c r="Q148">
        <v>431</v>
      </c>
      <c r="R148">
        <v>1460</v>
      </c>
      <c r="S148">
        <v>405</v>
      </c>
    </row>
    <row r="149" spans="1:19" x14ac:dyDescent="0.4">
      <c r="A149" t="s">
        <v>67</v>
      </c>
      <c r="B149">
        <v>202110</v>
      </c>
      <c r="C149">
        <v>16000</v>
      </c>
      <c r="D149" t="s">
        <v>64</v>
      </c>
      <c r="E149">
        <v>77</v>
      </c>
      <c r="F149">
        <v>104</v>
      </c>
      <c r="G149">
        <v>58</v>
      </c>
      <c r="H149">
        <v>102</v>
      </c>
      <c r="I149">
        <v>102</v>
      </c>
      <c r="J149" t="s">
        <v>139</v>
      </c>
      <c r="K149" t="s">
        <v>649</v>
      </c>
      <c r="L149">
        <v>2843</v>
      </c>
      <c r="M149">
        <v>10817</v>
      </c>
      <c r="N149">
        <v>13660</v>
      </c>
      <c r="O149">
        <v>15143</v>
      </c>
      <c r="P149">
        <v>102</v>
      </c>
      <c r="Q149">
        <v>103</v>
      </c>
      <c r="R149">
        <v>530</v>
      </c>
      <c r="S149">
        <v>43.5</v>
      </c>
    </row>
    <row r="150" spans="1:19" x14ac:dyDescent="0.4">
      <c r="A150" t="s">
        <v>67</v>
      </c>
      <c r="B150">
        <v>202110</v>
      </c>
      <c r="C150">
        <v>16050</v>
      </c>
      <c r="D150" t="s">
        <v>62</v>
      </c>
      <c r="E150">
        <v>414</v>
      </c>
      <c r="F150">
        <v>430</v>
      </c>
      <c r="G150">
        <v>384</v>
      </c>
      <c r="H150">
        <v>384</v>
      </c>
      <c r="I150">
        <v>384</v>
      </c>
      <c r="J150" t="s">
        <v>573</v>
      </c>
      <c r="K150" t="s">
        <v>650</v>
      </c>
      <c r="L150">
        <v>0</v>
      </c>
      <c r="M150">
        <v>12</v>
      </c>
      <c r="N150">
        <v>12</v>
      </c>
      <c r="O150">
        <v>6</v>
      </c>
      <c r="P150">
        <v>259</v>
      </c>
      <c r="Q150">
        <v>520</v>
      </c>
      <c r="R150">
        <v>430</v>
      </c>
      <c r="S150">
        <v>384</v>
      </c>
    </row>
    <row r="151" spans="1:19" x14ac:dyDescent="0.4">
      <c r="A151" t="s">
        <v>67</v>
      </c>
      <c r="B151">
        <v>202110</v>
      </c>
      <c r="C151">
        <v>16050</v>
      </c>
      <c r="D151" t="s">
        <v>64</v>
      </c>
      <c r="E151">
        <v>71</v>
      </c>
      <c r="F151">
        <v>114</v>
      </c>
      <c r="G151">
        <v>67</v>
      </c>
      <c r="H151">
        <v>113</v>
      </c>
      <c r="I151">
        <v>113</v>
      </c>
      <c r="J151" t="s">
        <v>130</v>
      </c>
      <c r="K151" t="s">
        <v>651</v>
      </c>
      <c r="L151">
        <v>0</v>
      </c>
      <c r="M151">
        <v>1628</v>
      </c>
      <c r="N151">
        <v>1628</v>
      </c>
      <c r="O151">
        <v>754</v>
      </c>
      <c r="P151">
        <v>113</v>
      </c>
      <c r="Q151">
        <v>116</v>
      </c>
      <c r="R151">
        <v>114</v>
      </c>
      <c r="S151">
        <v>67</v>
      </c>
    </row>
    <row r="152" spans="1:19" x14ac:dyDescent="0.4">
      <c r="A152" t="s">
        <v>67</v>
      </c>
      <c r="B152">
        <v>202110</v>
      </c>
      <c r="C152">
        <v>16100</v>
      </c>
      <c r="D152" t="s">
        <v>62</v>
      </c>
      <c r="E152">
        <v>470</v>
      </c>
      <c r="F152">
        <v>535</v>
      </c>
      <c r="G152">
        <v>345</v>
      </c>
      <c r="H152">
        <v>345</v>
      </c>
      <c r="I152">
        <v>345</v>
      </c>
      <c r="J152" t="s">
        <v>652</v>
      </c>
      <c r="K152" t="s">
        <v>371</v>
      </c>
      <c r="L152">
        <v>72</v>
      </c>
      <c r="M152">
        <v>279</v>
      </c>
      <c r="N152">
        <v>351</v>
      </c>
      <c r="O152">
        <v>265</v>
      </c>
      <c r="P152">
        <v>342</v>
      </c>
      <c r="Q152">
        <v>350</v>
      </c>
      <c r="R152">
        <v>1340</v>
      </c>
      <c r="S152">
        <v>345</v>
      </c>
    </row>
    <row r="153" spans="1:19" x14ac:dyDescent="0.4">
      <c r="A153" t="s">
        <v>67</v>
      </c>
      <c r="B153">
        <v>202110</v>
      </c>
      <c r="C153">
        <v>16100</v>
      </c>
      <c r="D153" t="s">
        <v>64</v>
      </c>
      <c r="E153">
        <v>98</v>
      </c>
      <c r="F153">
        <v>128</v>
      </c>
      <c r="G153">
        <v>73</v>
      </c>
      <c r="H153">
        <v>127</v>
      </c>
      <c r="I153">
        <v>127</v>
      </c>
      <c r="J153" t="s">
        <v>135</v>
      </c>
      <c r="K153" t="s">
        <v>653</v>
      </c>
      <c r="L153">
        <v>1440</v>
      </c>
      <c r="M153">
        <v>5246</v>
      </c>
      <c r="N153">
        <v>6686</v>
      </c>
      <c r="O153">
        <v>6734</v>
      </c>
      <c r="P153">
        <v>126</v>
      </c>
      <c r="Q153">
        <v>128</v>
      </c>
      <c r="R153">
        <v>590</v>
      </c>
      <c r="S153">
        <v>48.5</v>
      </c>
    </row>
    <row r="154" spans="1:19" x14ac:dyDescent="0.4">
      <c r="A154" t="s">
        <v>67</v>
      </c>
      <c r="B154">
        <v>202110</v>
      </c>
      <c r="C154">
        <v>16150</v>
      </c>
      <c r="D154" t="s">
        <v>62</v>
      </c>
      <c r="E154">
        <v>380</v>
      </c>
      <c r="F154">
        <v>380</v>
      </c>
      <c r="G154">
        <v>321</v>
      </c>
      <c r="H154">
        <v>321</v>
      </c>
      <c r="I154">
        <v>311</v>
      </c>
      <c r="J154" t="s">
        <v>357</v>
      </c>
      <c r="K154" t="s">
        <v>654</v>
      </c>
      <c r="L154">
        <v>0</v>
      </c>
      <c r="M154">
        <v>44</v>
      </c>
      <c r="N154">
        <v>44</v>
      </c>
      <c r="O154">
        <v>4</v>
      </c>
      <c r="P154">
        <v>307</v>
      </c>
      <c r="Q154">
        <v>314</v>
      </c>
      <c r="R154">
        <v>380</v>
      </c>
      <c r="S154">
        <v>321</v>
      </c>
    </row>
    <row r="155" spans="1:19" x14ac:dyDescent="0.4">
      <c r="A155" t="s">
        <v>67</v>
      </c>
      <c r="B155">
        <v>202110</v>
      </c>
      <c r="C155">
        <v>16150</v>
      </c>
      <c r="D155" t="s">
        <v>64</v>
      </c>
      <c r="E155">
        <v>92</v>
      </c>
      <c r="F155">
        <v>142</v>
      </c>
      <c r="G155">
        <v>79</v>
      </c>
      <c r="H155">
        <v>140</v>
      </c>
      <c r="I155">
        <v>140</v>
      </c>
      <c r="J155" t="s">
        <v>77</v>
      </c>
      <c r="K155" t="s">
        <v>496</v>
      </c>
      <c r="L155">
        <v>0</v>
      </c>
      <c r="M155">
        <v>1397</v>
      </c>
      <c r="N155">
        <v>1397</v>
      </c>
      <c r="O155">
        <v>400</v>
      </c>
      <c r="P155">
        <v>140</v>
      </c>
      <c r="Q155">
        <v>142</v>
      </c>
      <c r="R155">
        <v>142</v>
      </c>
      <c r="S155">
        <v>79</v>
      </c>
    </row>
    <row r="156" spans="1:19" x14ac:dyDescent="0.4">
      <c r="A156" t="s">
        <v>67</v>
      </c>
      <c r="B156">
        <v>202110</v>
      </c>
      <c r="C156">
        <v>16200</v>
      </c>
      <c r="D156" t="s">
        <v>62</v>
      </c>
      <c r="E156">
        <v>441</v>
      </c>
      <c r="F156">
        <v>473</v>
      </c>
      <c r="G156">
        <v>280</v>
      </c>
      <c r="H156">
        <v>280</v>
      </c>
      <c r="I156">
        <v>280</v>
      </c>
      <c r="J156" t="s">
        <v>655</v>
      </c>
      <c r="K156" t="s">
        <v>656</v>
      </c>
      <c r="L156">
        <v>458</v>
      </c>
      <c r="M156">
        <v>509</v>
      </c>
      <c r="N156">
        <v>967</v>
      </c>
      <c r="O156">
        <v>652</v>
      </c>
      <c r="P156">
        <v>275</v>
      </c>
      <c r="Q156">
        <v>281</v>
      </c>
      <c r="R156">
        <v>1360</v>
      </c>
      <c r="S156">
        <v>280</v>
      </c>
    </row>
    <row r="157" spans="1:19" x14ac:dyDescent="0.4">
      <c r="A157" t="s">
        <v>67</v>
      </c>
      <c r="B157">
        <v>202110</v>
      </c>
      <c r="C157">
        <v>16200</v>
      </c>
      <c r="D157" t="s">
        <v>64</v>
      </c>
      <c r="E157">
        <v>130</v>
      </c>
      <c r="F157">
        <v>159</v>
      </c>
      <c r="G157">
        <v>92</v>
      </c>
      <c r="H157">
        <v>157</v>
      </c>
      <c r="I157">
        <v>157</v>
      </c>
      <c r="J157" t="s">
        <v>102</v>
      </c>
      <c r="K157" t="s">
        <v>657</v>
      </c>
      <c r="L157">
        <v>1506</v>
      </c>
      <c r="M157">
        <v>4527</v>
      </c>
      <c r="N157">
        <v>6033</v>
      </c>
      <c r="O157">
        <v>7760</v>
      </c>
      <c r="P157">
        <v>158</v>
      </c>
      <c r="Q157">
        <v>159</v>
      </c>
      <c r="R157">
        <v>600</v>
      </c>
      <c r="S157">
        <v>56</v>
      </c>
    </row>
    <row r="158" spans="1:19" x14ac:dyDescent="0.4">
      <c r="A158" t="s">
        <v>67</v>
      </c>
      <c r="B158">
        <v>202110</v>
      </c>
      <c r="C158">
        <v>16250</v>
      </c>
      <c r="D158" t="s">
        <v>62</v>
      </c>
      <c r="E158">
        <v>355</v>
      </c>
      <c r="F158">
        <v>355</v>
      </c>
      <c r="G158">
        <v>246</v>
      </c>
      <c r="H158">
        <v>246</v>
      </c>
      <c r="I158">
        <v>246</v>
      </c>
      <c r="J158" t="s">
        <v>227</v>
      </c>
      <c r="K158" t="s">
        <v>658</v>
      </c>
      <c r="L158">
        <v>0</v>
      </c>
      <c r="M158">
        <v>137</v>
      </c>
      <c r="N158">
        <v>137</v>
      </c>
      <c r="O158">
        <v>88</v>
      </c>
      <c r="P158">
        <v>242</v>
      </c>
      <c r="Q158">
        <v>246</v>
      </c>
      <c r="R158">
        <v>355</v>
      </c>
      <c r="S158">
        <v>246</v>
      </c>
    </row>
    <row r="159" spans="1:19" x14ac:dyDescent="0.4">
      <c r="A159" t="s">
        <v>67</v>
      </c>
      <c r="B159">
        <v>202110</v>
      </c>
      <c r="C159">
        <v>16250</v>
      </c>
      <c r="D159" t="s">
        <v>64</v>
      </c>
      <c r="E159">
        <v>112</v>
      </c>
      <c r="F159">
        <v>175</v>
      </c>
      <c r="G159">
        <v>102</v>
      </c>
      <c r="H159">
        <v>175</v>
      </c>
      <c r="I159">
        <v>175</v>
      </c>
      <c r="J159" t="s">
        <v>80</v>
      </c>
      <c r="K159" s="28" t="s">
        <v>659</v>
      </c>
      <c r="L159">
        <v>0</v>
      </c>
      <c r="M159">
        <v>1165</v>
      </c>
      <c r="N159">
        <v>1165</v>
      </c>
      <c r="O159">
        <v>415</v>
      </c>
      <c r="P159">
        <v>174</v>
      </c>
      <c r="Q159">
        <v>175</v>
      </c>
      <c r="R159">
        <v>175</v>
      </c>
      <c r="S159">
        <v>102</v>
      </c>
    </row>
    <row r="160" spans="1:19" x14ac:dyDescent="0.4">
      <c r="A160" t="s">
        <v>67</v>
      </c>
      <c r="B160">
        <v>202110</v>
      </c>
      <c r="C160">
        <v>16300</v>
      </c>
      <c r="D160" t="s">
        <v>62</v>
      </c>
      <c r="E160">
        <v>350</v>
      </c>
      <c r="F160">
        <v>394</v>
      </c>
      <c r="G160">
        <v>213</v>
      </c>
      <c r="H160">
        <v>216</v>
      </c>
      <c r="I160">
        <v>216</v>
      </c>
      <c r="J160" t="s">
        <v>660</v>
      </c>
      <c r="K160" t="s">
        <v>661</v>
      </c>
      <c r="L160">
        <v>605</v>
      </c>
      <c r="M160">
        <v>1802</v>
      </c>
      <c r="N160">
        <v>2407</v>
      </c>
      <c r="O160">
        <v>1853</v>
      </c>
      <c r="P160">
        <v>212</v>
      </c>
      <c r="Q160">
        <v>216</v>
      </c>
      <c r="R160">
        <v>1160</v>
      </c>
      <c r="S160">
        <v>213</v>
      </c>
    </row>
    <row r="161" spans="1:19" x14ac:dyDescent="0.4">
      <c r="A161" t="s">
        <v>67</v>
      </c>
      <c r="B161">
        <v>202110</v>
      </c>
      <c r="C161">
        <v>16300</v>
      </c>
      <c r="D161" t="s">
        <v>64</v>
      </c>
      <c r="E161">
        <v>132</v>
      </c>
      <c r="F161">
        <v>195</v>
      </c>
      <c r="G161">
        <v>112</v>
      </c>
      <c r="H161">
        <v>194</v>
      </c>
      <c r="I161">
        <v>194</v>
      </c>
      <c r="J161" t="s">
        <v>112</v>
      </c>
      <c r="K161" t="s">
        <v>662</v>
      </c>
      <c r="L161">
        <v>1519</v>
      </c>
      <c r="M161">
        <v>4042</v>
      </c>
      <c r="N161">
        <v>5561</v>
      </c>
      <c r="O161">
        <v>5123</v>
      </c>
      <c r="P161">
        <v>193</v>
      </c>
      <c r="Q161">
        <v>195</v>
      </c>
      <c r="R161">
        <v>680</v>
      </c>
      <c r="S161">
        <v>63</v>
      </c>
    </row>
    <row r="162" spans="1:19" x14ac:dyDescent="0.4">
      <c r="A162" t="s">
        <v>67</v>
      </c>
      <c r="B162">
        <v>202110</v>
      </c>
      <c r="C162">
        <v>16350</v>
      </c>
      <c r="D162" t="s">
        <v>62</v>
      </c>
      <c r="E162">
        <v>272</v>
      </c>
      <c r="F162">
        <v>282</v>
      </c>
      <c r="G162">
        <v>186</v>
      </c>
      <c r="H162">
        <v>186</v>
      </c>
      <c r="I162">
        <v>186</v>
      </c>
      <c r="J162" t="s">
        <v>221</v>
      </c>
      <c r="K162" t="s">
        <v>663</v>
      </c>
      <c r="L162">
        <v>0</v>
      </c>
      <c r="M162">
        <v>789</v>
      </c>
      <c r="N162">
        <v>789</v>
      </c>
      <c r="O162">
        <v>340</v>
      </c>
      <c r="P162">
        <v>184</v>
      </c>
      <c r="Q162">
        <v>186</v>
      </c>
      <c r="R162">
        <v>282</v>
      </c>
      <c r="S162">
        <v>186</v>
      </c>
    </row>
    <row r="163" spans="1:19" x14ac:dyDescent="0.4">
      <c r="A163" t="s">
        <v>67</v>
      </c>
      <c r="B163">
        <v>202110</v>
      </c>
      <c r="C163">
        <v>16350</v>
      </c>
      <c r="D163" t="s">
        <v>64</v>
      </c>
      <c r="E163">
        <v>137</v>
      </c>
      <c r="F163">
        <v>218</v>
      </c>
      <c r="G163">
        <v>128</v>
      </c>
      <c r="H163">
        <v>217</v>
      </c>
      <c r="I163">
        <v>217</v>
      </c>
      <c r="J163" t="s">
        <v>144</v>
      </c>
      <c r="K163" t="s">
        <v>664</v>
      </c>
      <c r="L163">
        <v>0</v>
      </c>
      <c r="M163">
        <v>1786</v>
      </c>
      <c r="N163">
        <v>1786</v>
      </c>
      <c r="O163">
        <v>637</v>
      </c>
      <c r="P163">
        <v>215</v>
      </c>
      <c r="Q163">
        <v>219</v>
      </c>
      <c r="R163">
        <v>218</v>
      </c>
      <c r="S163">
        <v>128</v>
      </c>
    </row>
    <row r="164" spans="1:19" x14ac:dyDescent="0.4">
      <c r="A164" t="s">
        <v>67</v>
      </c>
      <c r="B164">
        <v>202110</v>
      </c>
      <c r="C164">
        <v>16400</v>
      </c>
      <c r="D164" t="s">
        <v>62</v>
      </c>
      <c r="E164">
        <v>268</v>
      </c>
      <c r="F164">
        <v>319</v>
      </c>
      <c r="G164">
        <v>158</v>
      </c>
      <c r="H164">
        <v>158</v>
      </c>
      <c r="I164">
        <v>158</v>
      </c>
      <c r="J164" t="s">
        <v>577</v>
      </c>
      <c r="K164" t="s">
        <v>665</v>
      </c>
      <c r="L164">
        <v>734</v>
      </c>
      <c r="M164">
        <v>6849</v>
      </c>
      <c r="N164">
        <v>7583</v>
      </c>
      <c r="O164">
        <v>4846</v>
      </c>
      <c r="P164">
        <v>158</v>
      </c>
      <c r="Q164">
        <v>160</v>
      </c>
      <c r="R164">
        <v>1110</v>
      </c>
      <c r="S164">
        <v>158</v>
      </c>
    </row>
    <row r="165" spans="1:19" x14ac:dyDescent="0.4">
      <c r="A165" t="s">
        <v>67</v>
      </c>
      <c r="B165">
        <v>202110</v>
      </c>
      <c r="C165">
        <v>16400</v>
      </c>
      <c r="D165" t="s">
        <v>64</v>
      </c>
      <c r="E165">
        <v>170</v>
      </c>
      <c r="F165">
        <v>240</v>
      </c>
      <c r="G165">
        <v>141</v>
      </c>
      <c r="H165">
        <v>239</v>
      </c>
      <c r="I165">
        <v>239</v>
      </c>
      <c r="J165" t="s">
        <v>89</v>
      </c>
      <c r="K165" t="s">
        <v>666</v>
      </c>
      <c r="L165">
        <v>1362</v>
      </c>
      <c r="M165">
        <v>3927</v>
      </c>
      <c r="N165">
        <v>5289</v>
      </c>
      <c r="O165">
        <v>7838</v>
      </c>
      <c r="P165">
        <v>239</v>
      </c>
      <c r="Q165">
        <v>242</v>
      </c>
      <c r="R165">
        <v>790</v>
      </c>
      <c r="S165">
        <v>72</v>
      </c>
    </row>
    <row r="166" spans="1:19" x14ac:dyDescent="0.4">
      <c r="A166" t="s">
        <v>67</v>
      </c>
      <c r="B166">
        <v>202110</v>
      </c>
      <c r="C166">
        <v>16450</v>
      </c>
      <c r="D166" t="s">
        <v>62</v>
      </c>
      <c r="E166">
        <v>252</v>
      </c>
      <c r="F166">
        <v>281</v>
      </c>
      <c r="G166">
        <v>135</v>
      </c>
      <c r="H166">
        <v>135</v>
      </c>
      <c r="I166">
        <v>135</v>
      </c>
      <c r="J166" t="s">
        <v>220</v>
      </c>
      <c r="K166" t="s">
        <v>667</v>
      </c>
      <c r="L166">
        <v>0</v>
      </c>
      <c r="M166">
        <v>2092</v>
      </c>
      <c r="N166">
        <v>2092</v>
      </c>
      <c r="O166">
        <v>769</v>
      </c>
      <c r="P166">
        <v>136</v>
      </c>
      <c r="Q166">
        <v>138</v>
      </c>
      <c r="R166">
        <v>281</v>
      </c>
      <c r="S166">
        <v>135</v>
      </c>
    </row>
    <row r="167" spans="1:19" x14ac:dyDescent="0.4">
      <c r="A167" t="s">
        <v>67</v>
      </c>
      <c r="B167">
        <v>202110</v>
      </c>
      <c r="C167">
        <v>16450</v>
      </c>
      <c r="D167" t="s">
        <v>64</v>
      </c>
      <c r="E167">
        <v>170</v>
      </c>
      <c r="F167">
        <v>263</v>
      </c>
      <c r="G167">
        <v>159</v>
      </c>
      <c r="H167">
        <v>262</v>
      </c>
      <c r="I167">
        <v>262</v>
      </c>
      <c r="J167" t="s">
        <v>668</v>
      </c>
      <c r="K167" t="s">
        <v>669</v>
      </c>
      <c r="L167">
        <v>0</v>
      </c>
      <c r="M167">
        <v>824</v>
      </c>
      <c r="N167">
        <v>824</v>
      </c>
      <c r="O167">
        <v>186</v>
      </c>
      <c r="P167">
        <v>265</v>
      </c>
      <c r="Q167">
        <v>266</v>
      </c>
      <c r="R167">
        <v>263</v>
      </c>
      <c r="S167">
        <v>159</v>
      </c>
    </row>
    <row r="168" spans="1:19" x14ac:dyDescent="0.4">
      <c r="A168" t="s">
        <v>67</v>
      </c>
      <c r="B168">
        <v>202110</v>
      </c>
      <c r="C168">
        <v>16500</v>
      </c>
      <c r="D168" t="s">
        <v>62</v>
      </c>
      <c r="E168">
        <v>191</v>
      </c>
      <c r="F168">
        <v>250</v>
      </c>
      <c r="G168">
        <v>114</v>
      </c>
      <c r="H168">
        <v>114</v>
      </c>
      <c r="I168">
        <v>114</v>
      </c>
      <c r="J168" t="s">
        <v>222</v>
      </c>
      <c r="K168" t="s">
        <v>670</v>
      </c>
      <c r="L168">
        <v>917</v>
      </c>
      <c r="M168">
        <v>6422</v>
      </c>
      <c r="N168">
        <v>7339</v>
      </c>
      <c r="O168">
        <v>4089</v>
      </c>
      <c r="P168">
        <v>114</v>
      </c>
      <c r="Q168">
        <v>116</v>
      </c>
      <c r="R168">
        <v>1090</v>
      </c>
      <c r="S168">
        <v>114</v>
      </c>
    </row>
    <row r="169" spans="1:19" x14ac:dyDescent="0.4">
      <c r="A169" t="s">
        <v>67</v>
      </c>
      <c r="B169">
        <v>202110</v>
      </c>
      <c r="C169">
        <v>16500</v>
      </c>
      <c r="D169" t="s">
        <v>64</v>
      </c>
      <c r="E169">
        <v>196</v>
      </c>
      <c r="F169">
        <v>296</v>
      </c>
      <c r="G169">
        <v>172</v>
      </c>
      <c r="H169">
        <v>295</v>
      </c>
      <c r="I169">
        <v>295</v>
      </c>
      <c r="J169" t="s">
        <v>618</v>
      </c>
      <c r="K169" t="s">
        <v>671</v>
      </c>
      <c r="L169">
        <v>1154</v>
      </c>
      <c r="M169">
        <v>2980</v>
      </c>
      <c r="N169">
        <v>4134</v>
      </c>
      <c r="O169">
        <v>4371</v>
      </c>
      <c r="P169">
        <v>295</v>
      </c>
      <c r="Q169">
        <v>298</v>
      </c>
      <c r="R169">
        <v>845</v>
      </c>
      <c r="S169">
        <v>82</v>
      </c>
    </row>
    <row r="170" spans="1:19" x14ac:dyDescent="0.4">
      <c r="A170" t="s">
        <v>67</v>
      </c>
      <c r="B170">
        <v>202110</v>
      </c>
      <c r="C170">
        <v>16550</v>
      </c>
      <c r="D170" t="s">
        <v>62</v>
      </c>
      <c r="E170">
        <v>197</v>
      </c>
      <c r="F170">
        <v>220</v>
      </c>
      <c r="G170">
        <v>95</v>
      </c>
      <c r="H170">
        <v>96</v>
      </c>
      <c r="I170">
        <v>96</v>
      </c>
      <c r="J170" t="s">
        <v>376</v>
      </c>
      <c r="K170" t="s">
        <v>672</v>
      </c>
      <c r="L170">
        <v>0</v>
      </c>
      <c r="M170">
        <v>2781</v>
      </c>
      <c r="N170">
        <v>2781</v>
      </c>
      <c r="O170">
        <v>1053</v>
      </c>
      <c r="P170">
        <v>95</v>
      </c>
      <c r="Q170">
        <v>96</v>
      </c>
      <c r="R170">
        <v>220</v>
      </c>
      <c r="S170">
        <v>95</v>
      </c>
    </row>
    <row r="171" spans="1:19" x14ac:dyDescent="0.4">
      <c r="A171" t="s">
        <v>67</v>
      </c>
      <c r="B171">
        <v>202110</v>
      </c>
      <c r="C171">
        <v>16550</v>
      </c>
      <c r="D171" t="s">
        <v>64</v>
      </c>
      <c r="E171">
        <v>210</v>
      </c>
      <c r="F171">
        <v>320</v>
      </c>
      <c r="G171">
        <v>195</v>
      </c>
      <c r="H171">
        <v>312</v>
      </c>
      <c r="I171">
        <v>325</v>
      </c>
      <c r="J171" t="s">
        <v>618</v>
      </c>
      <c r="K171" t="s">
        <v>673</v>
      </c>
      <c r="L171">
        <v>0</v>
      </c>
      <c r="M171">
        <v>362</v>
      </c>
      <c r="N171">
        <v>362</v>
      </c>
      <c r="O171">
        <v>106</v>
      </c>
      <c r="P171">
        <v>322</v>
      </c>
      <c r="Q171">
        <v>329</v>
      </c>
      <c r="R171">
        <v>320</v>
      </c>
      <c r="S171">
        <v>195</v>
      </c>
    </row>
    <row r="172" spans="1:19" x14ac:dyDescent="0.4">
      <c r="A172" t="s">
        <v>67</v>
      </c>
      <c r="B172">
        <v>202110</v>
      </c>
      <c r="C172">
        <v>16600</v>
      </c>
      <c r="D172" t="s">
        <v>62</v>
      </c>
      <c r="E172">
        <v>157</v>
      </c>
      <c r="F172">
        <v>192</v>
      </c>
      <c r="G172">
        <v>77</v>
      </c>
      <c r="H172">
        <v>77</v>
      </c>
      <c r="I172">
        <v>77</v>
      </c>
      <c r="J172" t="s">
        <v>216</v>
      </c>
      <c r="K172" t="s">
        <v>674</v>
      </c>
      <c r="L172">
        <v>1082</v>
      </c>
      <c r="M172">
        <v>7471</v>
      </c>
      <c r="N172">
        <v>8553</v>
      </c>
      <c r="O172">
        <v>6895</v>
      </c>
      <c r="P172">
        <v>77</v>
      </c>
      <c r="Q172">
        <v>78</v>
      </c>
      <c r="R172">
        <v>1080</v>
      </c>
      <c r="S172">
        <v>77</v>
      </c>
    </row>
    <row r="173" spans="1:19" x14ac:dyDescent="0.4">
      <c r="A173" t="s">
        <v>67</v>
      </c>
      <c r="B173">
        <v>202110</v>
      </c>
      <c r="C173">
        <v>16600</v>
      </c>
      <c r="D173" t="s">
        <v>64</v>
      </c>
      <c r="E173">
        <v>236</v>
      </c>
      <c r="F173">
        <v>357</v>
      </c>
      <c r="G173">
        <v>215</v>
      </c>
      <c r="H173">
        <v>352</v>
      </c>
      <c r="I173">
        <v>352</v>
      </c>
      <c r="J173" t="s">
        <v>321</v>
      </c>
      <c r="K173" t="s">
        <v>675</v>
      </c>
      <c r="L173">
        <v>775</v>
      </c>
      <c r="M173">
        <v>1498</v>
      </c>
      <c r="N173">
        <v>2273</v>
      </c>
      <c r="O173">
        <v>5663</v>
      </c>
      <c r="P173">
        <v>357</v>
      </c>
      <c r="Q173">
        <v>362</v>
      </c>
      <c r="R173">
        <v>930</v>
      </c>
      <c r="S173">
        <v>94</v>
      </c>
    </row>
    <row r="174" spans="1:19" x14ac:dyDescent="0.4">
      <c r="A174" t="s">
        <v>67</v>
      </c>
      <c r="B174">
        <v>202110</v>
      </c>
      <c r="C174">
        <v>16650</v>
      </c>
      <c r="D174" t="s">
        <v>62</v>
      </c>
      <c r="E174">
        <v>140</v>
      </c>
      <c r="F174">
        <v>165</v>
      </c>
      <c r="G174">
        <v>62</v>
      </c>
      <c r="H174">
        <v>63</v>
      </c>
      <c r="I174">
        <v>63</v>
      </c>
      <c r="J174" t="s">
        <v>320</v>
      </c>
      <c r="K174" t="s">
        <v>676</v>
      </c>
      <c r="L174">
        <v>0</v>
      </c>
      <c r="M174">
        <v>4656</v>
      </c>
      <c r="N174">
        <v>4656</v>
      </c>
      <c r="O174">
        <v>1857</v>
      </c>
      <c r="P174">
        <v>62</v>
      </c>
      <c r="Q174">
        <v>63</v>
      </c>
      <c r="R174">
        <v>165</v>
      </c>
      <c r="S174">
        <v>62</v>
      </c>
    </row>
    <row r="175" spans="1:19" x14ac:dyDescent="0.4">
      <c r="A175" t="s">
        <v>67</v>
      </c>
      <c r="B175">
        <v>202110</v>
      </c>
      <c r="C175">
        <v>16650</v>
      </c>
      <c r="D175" t="s">
        <v>64</v>
      </c>
      <c r="E175">
        <v>245</v>
      </c>
      <c r="F175">
        <v>396</v>
      </c>
      <c r="G175">
        <v>244</v>
      </c>
      <c r="H175">
        <v>396</v>
      </c>
      <c r="I175">
        <v>396</v>
      </c>
      <c r="J175" t="s">
        <v>677</v>
      </c>
      <c r="K175" t="s">
        <v>678</v>
      </c>
      <c r="L175">
        <v>0</v>
      </c>
      <c r="M175">
        <v>65</v>
      </c>
      <c r="N175">
        <v>65</v>
      </c>
      <c r="O175">
        <v>17</v>
      </c>
      <c r="P175">
        <v>390</v>
      </c>
      <c r="Q175">
        <v>397</v>
      </c>
      <c r="R175">
        <v>396</v>
      </c>
      <c r="S175">
        <v>244</v>
      </c>
    </row>
    <row r="176" spans="1:19" x14ac:dyDescent="0.4">
      <c r="A176" t="s">
        <v>67</v>
      </c>
      <c r="B176">
        <v>202110</v>
      </c>
      <c r="C176">
        <v>16700</v>
      </c>
      <c r="D176" t="s">
        <v>62</v>
      </c>
      <c r="E176">
        <v>112</v>
      </c>
      <c r="F176">
        <v>141</v>
      </c>
      <c r="G176">
        <v>49.5</v>
      </c>
      <c r="H176">
        <v>49.5</v>
      </c>
      <c r="I176">
        <v>49.5</v>
      </c>
      <c r="J176" t="s">
        <v>679</v>
      </c>
      <c r="K176" t="s">
        <v>125</v>
      </c>
      <c r="L176">
        <v>1923</v>
      </c>
      <c r="M176">
        <v>7216</v>
      </c>
      <c r="N176">
        <v>9139</v>
      </c>
      <c r="O176">
        <v>7553</v>
      </c>
      <c r="P176">
        <v>49</v>
      </c>
      <c r="Q176">
        <v>50</v>
      </c>
      <c r="R176">
        <v>920</v>
      </c>
      <c r="S176">
        <v>49.5</v>
      </c>
    </row>
    <row r="177" spans="1:19" x14ac:dyDescent="0.4">
      <c r="A177" t="s">
        <v>67</v>
      </c>
      <c r="B177">
        <v>202110</v>
      </c>
      <c r="C177">
        <v>16700</v>
      </c>
      <c r="D177" t="s">
        <v>64</v>
      </c>
      <c r="E177">
        <v>300</v>
      </c>
      <c r="F177">
        <v>430</v>
      </c>
      <c r="G177">
        <v>266</v>
      </c>
      <c r="H177">
        <v>430</v>
      </c>
      <c r="I177">
        <v>430</v>
      </c>
      <c r="J177" t="s">
        <v>680</v>
      </c>
      <c r="K177" t="s">
        <v>681</v>
      </c>
      <c r="L177">
        <v>637</v>
      </c>
      <c r="M177">
        <v>469</v>
      </c>
      <c r="N177">
        <v>1106</v>
      </c>
      <c r="O177">
        <v>4671</v>
      </c>
      <c r="P177">
        <v>429</v>
      </c>
      <c r="Q177">
        <v>444</v>
      </c>
      <c r="R177">
        <v>825</v>
      </c>
      <c r="S177">
        <v>108</v>
      </c>
    </row>
    <row r="178" spans="1:19" x14ac:dyDescent="0.4">
      <c r="A178" t="s">
        <v>67</v>
      </c>
      <c r="B178">
        <v>202110</v>
      </c>
      <c r="C178">
        <v>16750</v>
      </c>
      <c r="D178" t="s">
        <v>62</v>
      </c>
      <c r="E178">
        <v>103</v>
      </c>
      <c r="F178">
        <v>118</v>
      </c>
      <c r="G178">
        <v>38.5</v>
      </c>
      <c r="H178">
        <v>38.5</v>
      </c>
      <c r="I178">
        <v>38.5</v>
      </c>
      <c r="J178" t="s">
        <v>682</v>
      </c>
      <c r="K178" t="s">
        <v>683</v>
      </c>
      <c r="L178">
        <v>0</v>
      </c>
      <c r="M178">
        <v>4155</v>
      </c>
      <c r="N178">
        <v>4155</v>
      </c>
      <c r="O178">
        <v>1607</v>
      </c>
      <c r="P178">
        <v>38</v>
      </c>
      <c r="Q178">
        <v>38.5</v>
      </c>
      <c r="R178">
        <v>118</v>
      </c>
      <c r="S178">
        <v>38.5</v>
      </c>
    </row>
    <row r="179" spans="1:19" x14ac:dyDescent="0.4">
      <c r="A179" t="s">
        <v>67</v>
      </c>
      <c r="B179">
        <v>202110</v>
      </c>
      <c r="C179">
        <v>16750</v>
      </c>
      <c r="D179" t="s">
        <v>64</v>
      </c>
      <c r="E179">
        <v>295</v>
      </c>
      <c r="F179">
        <v>464</v>
      </c>
      <c r="G179">
        <v>295</v>
      </c>
      <c r="H179">
        <v>464</v>
      </c>
      <c r="I179">
        <v>464</v>
      </c>
      <c r="J179" t="s">
        <v>684</v>
      </c>
      <c r="K179" t="s">
        <v>685</v>
      </c>
      <c r="L179">
        <v>0</v>
      </c>
      <c r="M179">
        <v>48</v>
      </c>
      <c r="N179">
        <v>48</v>
      </c>
      <c r="O179">
        <v>19</v>
      </c>
      <c r="P179">
        <v>459</v>
      </c>
      <c r="Q179">
        <v>477</v>
      </c>
      <c r="R179">
        <v>464</v>
      </c>
      <c r="S179">
        <v>295</v>
      </c>
    </row>
    <row r="180" spans="1:19" x14ac:dyDescent="0.4">
      <c r="A180" t="s">
        <v>67</v>
      </c>
      <c r="B180">
        <v>202110</v>
      </c>
      <c r="C180">
        <v>16800</v>
      </c>
      <c r="D180" t="s">
        <v>62</v>
      </c>
      <c r="E180">
        <v>75</v>
      </c>
      <c r="F180">
        <v>100</v>
      </c>
      <c r="G180">
        <v>29</v>
      </c>
      <c r="H180">
        <v>29</v>
      </c>
      <c r="I180">
        <v>29</v>
      </c>
      <c r="J180" t="s">
        <v>451</v>
      </c>
      <c r="K180" t="s">
        <v>686</v>
      </c>
      <c r="L180">
        <v>2225</v>
      </c>
      <c r="M180">
        <v>9128</v>
      </c>
      <c r="N180">
        <v>11353</v>
      </c>
      <c r="O180">
        <v>8242</v>
      </c>
      <c r="P180">
        <v>29</v>
      </c>
      <c r="Q180">
        <v>30</v>
      </c>
      <c r="R180">
        <v>845</v>
      </c>
      <c r="S180">
        <v>29</v>
      </c>
    </row>
    <row r="181" spans="1:19" x14ac:dyDescent="0.4">
      <c r="A181" t="s">
        <v>67</v>
      </c>
      <c r="B181">
        <v>202110</v>
      </c>
      <c r="C181">
        <v>16800</v>
      </c>
      <c r="D181" t="s">
        <v>64</v>
      </c>
      <c r="E181">
        <v>352</v>
      </c>
      <c r="F181">
        <v>510</v>
      </c>
      <c r="G181">
        <v>323</v>
      </c>
      <c r="H181">
        <v>510</v>
      </c>
      <c r="I181">
        <v>510</v>
      </c>
      <c r="J181" t="s">
        <v>461</v>
      </c>
      <c r="K181" s="28" t="s">
        <v>687</v>
      </c>
      <c r="L181">
        <v>137</v>
      </c>
      <c r="M181">
        <v>255</v>
      </c>
      <c r="N181">
        <v>392</v>
      </c>
      <c r="O181">
        <v>3249</v>
      </c>
      <c r="P181">
        <v>505</v>
      </c>
      <c r="Q181">
        <v>600</v>
      </c>
      <c r="R181">
        <v>945</v>
      </c>
      <c r="S181">
        <v>124</v>
      </c>
    </row>
    <row r="182" spans="1:19" x14ac:dyDescent="0.4">
      <c r="A182" t="s">
        <v>67</v>
      </c>
      <c r="B182">
        <v>202110</v>
      </c>
      <c r="C182">
        <v>16850</v>
      </c>
      <c r="D182" t="s">
        <v>62</v>
      </c>
      <c r="E182">
        <v>69</v>
      </c>
      <c r="F182">
        <v>82</v>
      </c>
      <c r="G182">
        <v>22</v>
      </c>
      <c r="H182">
        <v>22.5</v>
      </c>
      <c r="I182">
        <v>22.5</v>
      </c>
      <c r="J182" t="s">
        <v>688</v>
      </c>
      <c r="K182" t="s">
        <v>689</v>
      </c>
      <c r="L182">
        <v>0</v>
      </c>
      <c r="M182">
        <v>5019</v>
      </c>
      <c r="N182">
        <v>5019</v>
      </c>
      <c r="O182">
        <v>1943</v>
      </c>
      <c r="P182">
        <v>21.5</v>
      </c>
      <c r="Q182">
        <v>22</v>
      </c>
      <c r="R182">
        <v>82</v>
      </c>
      <c r="S182">
        <v>22</v>
      </c>
    </row>
    <row r="183" spans="1:19" x14ac:dyDescent="0.4">
      <c r="A183" t="s">
        <v>67</v>
      </c>
      <c r="B183">
        <v>202110</v>
      </c>
      <c r="C183">
        <v>16850</v>
      </c>
      <c r="D183" t="s">
        <v>64</v>
      </c>
      <c r="E183">
        <v>368</v>
      </c>
      <c r="F183">
        <v>463</v>
      </c>
      <c r="G183">
        <v>368</v>
      </c>
      <c r="H183">
        <v>463</v>
      </c>
      <c r="I183">
        <v>550</v>
      </c>
      <c r="J183" t="s">
        <v>249</v>
      </c>
      <c r="K183" t="s">
        <v>690</v>
      </c>
      <c r="L183">
        <v>0</v>
      </c>
      <c r="M183">
        <v>2</v>
      </c>
      <c r="N183">
        <v>2</v>
      </c>
      <c r="O183">
        <v>1</v>
      </c>
      <c r="P183">
        <v>410</v>
      </c>
      <c r="Q183">
        <v>690</v>
      </c>
      <c r="R183">
        <v>463</v>
      </c>
      <c r="S183">
        <v>368</v>
      </c>
    </row>
    <row r="184" spans="1:19" x14ac:dyDescent="0.4">
      <c r="A184" t="s">
        <v>67</v>
      </c>
      <c r="B184">
        <v>202110</v>
      </c>
      <c r="C184">
        <v>16900</v>
      </c>
      <c r="D184" t="s">
        <v>62</v>
      </c>
      <c r="E184">
        <v>44</v>
      </c>
      <c r="F184">
        <v>66</v>
      </c>
      <c r="G184">
        <v>17</v>
      </c>
      <c r="H184">
        <v>17</v>
      </c>
      <c r="I184">
        <v>17</v>
      </c>
      <c r="J184" t="s">
        <v>114</v>
      </c>
      <c r="K184" t="s">
        <v>691</v>
      </c>
      <c r="L184">
        <v>1767</v>
      </c>
      <c r="M184">
        <v>9392</v>
      </c>
      <c r="N184">
        <v>11159</v>
      </c>
      <c r="O184">
        <v>10361</v>
      </c>
      <c r="P184">
        <v>16.5</v>
      </c>
      <c r="Q184">
        <v>17.5</v>
      </c>
      <c r="R184">
        <v>775</v>
      </c>
      <c r="S184">
        <v>17</v>
      </c>
    </row>
    <row r="185" spans="1:19" x14ac:dyDescent="0.4">
      <c r="A185" t="s">
        <v>67</v>
      </c>
      <c r="B185">
        <v>202110</v>
      </c>
      <c r="C185">
        <v>16900</v>
      </c>
      <c r="D185" t="s">
        <v>64</v>
      </c>
      <c r="E185">
        <v>412</v>
      </c>
      <c r="F185">
        <v>590</v>
      </c>
      <c r="G185">
        <v>392</v>
      </c>
      <c r="H185">
        <v>590</v>
      </c>
      <c r="I185">
        <v>590</v>
      </c>
      <c r="J185" t="s">
        <v>223</v>
      </c>
      <c r="K185" t="s">
        <v>692</v>
      </c>
      <c r="L185">
        <v>30</v>
      </c>
      <c r="M185">
        <v>158</v>
      </c>
      <c r="N185">
        <v>188</v>
      </c>
      <c r="O185">
        <v>2684</v>
      </c>
      <c r="P185">
        <v>595</v>
      </c>
      <c r="Q185">
        <v>735</v>
      </c>
      <c r="R185">
        <v>925</v>
      </c>
      <c r="S185">
        <v>142</v>
      </c>
    </row>
    <row r="186" spans="1:19" x14ac:dyDescent="0.4">
      <c r="A186" t="s">
        <v>67</v>
      </c>
      <c r="B186">
        <v>202110</v>
      </c>
      <c r="C186">
        <v>16950</v>
      </c>
      <c r="D186" t="s">
        <v>62</v>
      </c>
      <c r="E186">
        <v>42</v>
      </c>
      <c r="F186">
        <v>53</v>
      </c>
      <c r="G186">
        <v>12.5</v>
      </c>
      <c r="H186">
        <v>12.5</v>
      </c>
      <c r="I186">
        <v>12.5</v>
      </c>
      <c r="J186" t="s">
        <v>693</v>
      </c>
      <c r="K186" t="s">
        <v>694</v>
      </c>
      <c r="L186">
        <v>0</v>
      </c>
      <c r="M186">
        <v>3477</v>
      </c>
      <c r="N186">
        <v>3477</v>
      </c>
      <c r="O186">
        <v>1635</v>
      </c>
      <c r="P186">
        <v>12.5</v>
      </c>
      <c r="Q186">
        <v>13</v>
      </c>
      <c r="R186">
        <v>53</v>
      </c>
      <c r="S186">
        <v>12.5</v>
      </c>
    </row>
    <row r="187" spans="1:19" x14ac:dyDescent="0.4">
      <c r="A187" t="s">
        <v>67</v>
      </c>
      <c r="B187">
        <v>202110</v>
      </c>
      <c r="C187">
        <v>16950</v>
      </c>
      <c r="D187" t="s">
        <v>64</v>
      </c>
      <c r="E187">
        <v>605</v>
      </c>
      <c r="F187">
        <v>605</v>
      </c>
      <c r="G187">
        <v>605</v>
      </c>
      <c r="H187">
        <v>605</v>
      </c>
      <c r="I187">
        <v>640</v>
      </c>
      <c r="J187" t="s">
        <v>144</v>
      </c>
      <c r="K187" t="s">
        <v>695</v>
      </c>
      <c r="L187">
        <v>0</v>
      </c>
      <c r="M187">
        <v>1</v>
      </c>
      <c r="N187">
        <v>1</v>
      </c>
      <c r="O187">
        <v>1</v>
      </c>
      <c r="P187">
        <v>505</v>
      </c>
      <c r="Q187">
        <v>780</v>
      </c>
      <c r="R187">
        <v>605</v>
      </c>
      <c r="S187">
        <v>605</v>
      </c>
    </row>
    <row r="188" spans="1:19" x14ac:dyDescent="0.4">
      <c r="A188" t="s">
        <v>67</v>
      </c>
      <c r="B188">
        <v>202110</v>
      </c>
      <c r="C188">
        <v>17000</v>
      </c>
      <c r="D188" t="s">
        <v>62</v>
      </c>
      <c r="E188">
        <v>29.5</v>
      </c>
      <c r="F188">
        <v>42</v>
      </c>
      <c r="G188">
        <v>9.6</v>
      </c>
      <c r="H188">
        <v>9.6</v>
      </c>
      <c r="I188">
        <v>9.6999999999999993</v>
      </c>
      <c r="J188" t="s">
        <v>696</v>
      </c>
      <c r="K188" t="s">
        <v>697</v>
      </c>
      <c r="L188">
        <v>2416</v>
      </c>
      <c r="M188">
        <v>11829</v>
      </c>
      <c r="N188">
        <v>14245</v>
      </c>
      <c r="O188">
        <v>13003</v>
      </c>
      <c r="P188">
        <v>9.6999999999999993</v>
      </c>
      <c r="Q188">
        <v>10</v>
      </c>
      <c r="R188">
        <v>815</v>
      </c>
      <c r="S188">
        <v>9.6</v>
      </c>
    </row>
    <row r="189" spans="1:19" x14ac:dyDescent="0.4">
      <c r="A189" t="s">
        <v>67</v>
      </c>
      <c r="B189">
        <v>202110</v>
      </c>
      <c r="C189">
        <v>17000</v>
      </c>
      <c r="D189" t="s">
        <v>64</v>
      </c>
      <c r="E189">
        <v>490</v>
      </c>
      <c r="F189">
        <v>685</v>
      </c>
      <c r="G189">
        <v>470</v>
      </c>
      <c r="H189">
        <v>675</v>
      </c>
      <c r="I189">
        <v>685</v>
      </c>
      <c r="J189" t="s">
        <v>405</v>
      </c>
      <c r="K189" t="s">
        <v>698</v>
      </c>
      <c r="L189">
        <v>48</v>
      </c>
      <c r="M189">
        <v>98</v>
      </c>
      <c r="N189">
        <v>146</v>
      </c>
      <c r="O189">
        <v>3150</v>
      </c>
      <c r="P189">
        <v>660</v>
      </c>
      <c r="Q189">
        <v>695</v>
      </c>
      <c r="R189">
        <v>910</v>
      </c>
      <c r="S189">
        <v>165</v>
      </c>
    </row>
    <row r="190" spans="1:19" x14ac:dyDescent="0.4">
      <c r="A190" t="s">
        <v>67</v>
      </c>
      <c r="B190">
        <v>202110</v>
      </c>
      <c r="C190">
        <v>17100</v>
      </c>
      <c r="D190" t="s">
        <v>62</v>
      </c>
      <c r="E190">
        <v>20</v>
      </c>
      <c r="F190">
        <v>25.5</v>
      </c>
      <c r="G190">
        <v>5.8</v>
      </c>
      <c r="H190">
        <v>5.8</v>
      </c>
      <c r="I190">
        <v>5.8</v>
      </c>
      <c r="J190" t="s">
        <v>699</v>
      </c>
      <c r="K190" t="s">
        <v>700</v>
      </c>
      <c r="L190">
        <v>1543</v>
      </c>
      <c r="M190">
        <v>5704</v>
      </c>
      <c r="N190">
        <v>7247</v>
      </c>
      <c r="O190">
        <v>7786</v>
      </c>
      <c r="P190">
        <v>5</v>
      </c>
      <c r="Q190">
        <v>5.9</v>
      </c>
      <c r="R190">
        <v>705</v>
      </c>
      <c r="S190">
        <v>5.8</v>
      </c>
    </row>
    <row r="191" spans="1:19" x14ac:dyDescent="0.4">
      <c r="A191" t="s">
        <v>67</v>
      </c>
      <c r="B191">
        <v>202110</v>
      </c>
      <c r="C191">
        <v>17100</v>
      </c>
      <c r="D191" t="s">
        <v>64</v>
      </c>
      <c r="E191">
        <v>550</v>
      </c>
      <c r="F191">
        <v>785</v>
      </c>
      <c r="G191">
        <v>550</v>
      </c>
      <c r="H191">
        <v>785</v>
      </c>
      <c r="I191">
        <v>785</v>
      </c>
      <c r="J191" t="s">
        <v>218</v>
      </c>
      <c r="K191" t="s">
        <v>701</v>
      </c>
      <c r="L191">
        <v>10</v>
      </c>
      <c r="M191">
        <v>63</v>
      </c>
      <c r="N191">
        <v>73</v>
      </c>
      <c r="O191">
        <v>2058</v>
      </c>
      <c r="P191">
        <v>780</v>
      </c>
      <c r="Q191">
        <v>790</v>
      </c>
      <c r="R191">
        <v>995</v>
      </c>
      <c r="S191">
        <v>131</v>
      </c>
    </row>
    <row r="192" spans="1:19" x14ac:dyDescent="0.4">
      <c r="A192" t="s">
        <v>67</v>
      </c>
      <c r="B192">
        <v>202110</v>
      </c>
      <c r="C192">
        <v>17200</v>
      </c>
      <c r="D192" t="s">
        <v>62</v>
      </c>
      <c r="E192">
        <v>11</v>
      </c>
      <c r="F192">
        <v>15.5</v>
      </c>
      <c r="G192">
        <v>3.6</v>
      </c>
      <c r="H192">
        <v>3.6</v>
      </c>
      <c r="I192">
        <v>3.6</v>
      </c>
      <c r="J192" t="s">
        <v>568</v>
      </c>
      <c r="K192" t="s">
        <v>702</v>
      </c>
      <c r="L192">
        <v>910</v>
      </c>
      <c r="M192">
        <v>4469</v>
      </c>
      <c r="N192">
        <v>5379</v>
      </c>
      <c r="O192">
        <v>9284</v>
      </c>
      <c r="P192">
        <v>2.8</v>
      </c>
      <c r="Q192">
        <v>3.9</v>
      </c>
      <c r="R192">
        <v>660</v>
      </c>
      <c r="S192">
        <v>3.6</v>
      </c>
    </row>
    <row r="193" spans="1:19" x14ac:dyDescent="0.4">
      <c r="A193" t="s">
        <v>67</v>
      </c>
      <c r="B193">
        <v>202110</v>
      </c>
      <c r="C193">
        <v>17200</v>
      </c>
      <c r="D193" t="s">
        <v>64</v>
      </c>
      <c r="E193">
        <v>645</v>
      </c>
      <c r="F193">
        <v>855</v>
      </c>
      <c r="G193">
        <v>645</v>
      </c>
      <c r="H193">
        <v>835</v>
      </c>
      <c r="I193">
        <v>885</v>
      </c>
      <c r="J193" t="s">
        <v>622</v>
      </c>
      <c r="K193" t="s">
        <v>703</v>
      </c>
      <c r="L193">
        <v>0</v>
      </c>
      <c r="M193">
        <v>19</v>
      </c>
      <c r="N193">
        <v>19</v>
      </c>
      <c r="O193">
        <v>3573</v>
      </c>
      <c r="P193">
        <v>780</v>
      </c>
      <c r="Q193">
        <v>890</v>
      </c>
      <c r="R193">
        <v>1090</v>
      </c>
      <c r="S193">
        <v>223</v>
      </c>
    </row>
    <row r="194" spans="1:19" x14ac:dyDescent="0.4">
      <c r="A194" t="s">
        <v>67</v>
      </c>
      <c r="B194">
        <v>202110</v>
      </c>
      <c r="C194">
        <v>17300</v>
      </c>
      <c r="D194" t="s">
        <v>62</v>
      </c>
      <c r="E194">
        <v>8.3000000000000007</v>
      </c>
      <c r="F194">
        <v>10</v>
      </c>
      <c r="G194">
        <v>2.6</v>
      </c>
      <c r="H194">
        <v>2.8</v>
      </c>
      <c r="I194">
        <v>2.8</v>
      </c>
      <c r="J194" t="s">
        <v>704</v>
      </c>
      <c r="K194" t="s">
        <v>705</v>
      </c>
      <c r="L194">
        <v>849</v>
      </c>
      <c r="M194">
        <v>3204</v>
      </c>
      <c r="N194">
        <v>4053</v>
      </c>
      <c r="O194">
        <v>8445</v>
      </c>
      <c r="P194">
        <v>2.6</v>
      </c>
      <c r="Q194">
        <v>2.9</v>
      </c>
      <c r="R194">
        <v>615</v>
      </c>
      <c r="S194">
        <v>2.6</v>
      </c>
    </row>
    <row r="195" spans="1:19" x14ac:dyDescent="0.4">
      <c r="A195" t="s">
        <v>67</v>
      </c>
      <c r="B195">
        <v>202110</v>
      </c>
      <c r="C195">
        <v>17300</v>
      </c>
      <c r="D195" t="s">
        <v>64</v>
      </c>
      <c r="E195">
        <v>735</v>
      </c>
      <c r="F195">
        <v>950</v>
      </c>
      <c r="G195">
        <v>735</v>
      </c>
      <c r="H195">
        <v>945</v>
      </c>
      <c r="I195">
        <v>980</v>
      </c>
      <c r="J195" t="s">
        <v>397</v>
      </c>
      <c r="K195" t="s">
        <v>706</v>
      </c>
      <c r="L195">
        <v>0</v>
      </c>
      <c r="M195">
        <v>14</v>
      </c>
      <c r="N195">
        <v>14</v>
      </c>
      <c r="O195">
        <v>2544</v>
      </c>
      <c r="P195">
        <v>840</v>
      </c>
      <c r="Q195">
        <v>995</v>
      </c>
      <c r="R195">
        <v>1270</v>
      </c>
      <c r="S195">
        <v>260</v>
      </c>
    </row>
    <row r="196" spans="1:19" x14ac:dyDescent="0.4">
      <c r="A196" t="s">
        <v>67</v>
      </c>
      <c r="B196">
        <v>202110</v>
      </c>
      <c r="C196">
        <v>17400</v>
      </c>
      <c r="D196" t="s">
        <v>62</v>
      </c>
      <c r="E196">
        <v>5.3</v>
      </c>
      <c r="F196">
        <v>6.7</v>
      </c>
      <c r="G196">
        <v>1.8</v>
      </c>
      <c r="H196">
        <v>1.9</v>
      </c>
      <c r="I196">
        <v>1.9</v>
      </c>
      <c r="J196" t="s">
        <v>265</v>
      </c>
      <c r="K196" t="s">
        <v>707</v>
      </c>
      <c r="L196">
        <v>283</v>
      </c>
      <c r="M196">
        <v>2977</v>
      </c>
      <c r="N196">
        <v>3260</v>
      </c>
      <c r="O196">
        <v>7852</v>
      </c>
      <c r="P196">
        <v>1.8</v>
      </c>
      <c r="Q196">
        <v>2</v>
      </c>
      <c r="R196">
        <v>565</v>
      </c>
      <c r="S196">
        <v>1.8</v>
      </c>
    </row>
    <row r="197" spans="1:19" x14ac:dyDescent="0.4">
      <c r="A197" t="s">
        <v>67</v>
      </c>
      <c r="B197">
        <v>202110</v>
      </c>
      <c r="C197">
        <v>17400</v>
      </c>
      <c r="D197" t="s">
        <v>64</v>
      </c>
      <c r="E197">
        <v>840</v>
      </c>
      <c r="F197">
        <v>1040</v>
      </c>
      <c r="G197">
        <v>840</v>
      </c>
      <c r="H197">
        <v>1040</v>
      </c>
      <c r="I197">
        <v>1080</v>
      </c>
      <c r="J197" t="s">
        <v>604</v>
      </c>
      <c r="K197" t="s">
        <v>708</v>
      </c>
      <c r="L197">
        <v>0</v>
      </c>
      <c r="M197">
        <v>21</v>
      </c>
      <c r="N197">
        <v>21</v>
      </c>
      <c r="O197">
        <v>1377</v>
      </c>
      <c r="P197">
        <v>940</v>
      </c>
      <c r="Q197">
        <v>1090</v>
      </c>
      <c r="R197">
        <v>1200</v>
      </c>
      <c r="S197">
        <v>303</v>
      </c>
    </row>
    <row r="198" spans="1:19" x14ac:dyDescent="0.4">
      <c r="A198" t="s">
        <v>67</v>
      </c>
      <c r="B198">
        <v>202110</v>
      </c>
      <c r="C198">
        <v>17500</v>
      </c>
      <c r="D198" t="s">
        <v>62</v>
      </c>
      <c r="E198">
        <v>3.9</v>
      </c>
      <c r="F198">
        <v>4.4000000000000004</v>
      </c>
      <c r="G198">
        <v>1.5</v>
      </c>
      <c r="H198">
        <v>2</v>
      </c>
      <c r="I198">
        <v>1.6</v>
      </c>
      <c r="J198" t="s">
        <v>260</v>
      </c>
      <c r="K198" t="s">
        <v>262</v>
      </c>
      <c r="L198">
        <v>470</v>
      </c>
      <c r="M198">
        <v>3033</v>
      </c>
      <c r="N198">
        <v>3503</v>
      </c>
      <c r="O198">
        <v>8821</v>
      </c>
      <c r="P198">
        <v>1.4</v>
      </c>
      <c r="Q198">
        <v>1.7</v>
      </c>
      <c r="R198">
        <v>466</v>
      </c>
      <c r="S198">
        <v>0.1</v>
      </c>
    </row>
    <row r="199" spans="1:19" x14ac:dyDescent="0.4">
      <c r="A199" t="s">
        <v>67</v>
      </c>
      <c r="B199">
        <v>202110</v>
      </c>
      <c r="C199">
        <v>17500</v>
      </c>
      <c r="D199" t="s">
        <v>64</v>
      </c>
      <c r="E199">
        <v>1100</v>
      </c>
      <c r="F199">
        <v>1100</v>
      </c>
      <c r="G199">
        <v>1100</v>
      </c>
      <c r="H199">
        <v>1100</v>
      </c>
      <c r="I199">
        <v>1180</v>
      </c>
      <c r="J199" t="s">
        <v>275</v>
      </c>
      <c r="K199" t="s">
        <v>709</v>
      </c>
      <c r="L199">
        <v>0</v>
      </c>
      <c r="M199">
        <v>2</v>
      </c>
      <c r="N199">
        <v>2</v>
      </c>
      <c r="O199">
        <v>347</v>
      </c>
      <c r="P199">
        <v>1040</v>
      </c>
      <c r="Q199">
        <v>1190</v>
      </c>
      <c r="R199">
        <v>1360</v>
      </c>
      <c r="S199">
        <v>353</v>
      </c>
    </row>
    <row r="200" spans="1:19" x14ac:dyDescent="0.4">
      <c r="A200" t="s">
        <v>67</v>
      </c>
      <c r="B200">
        <v>202110</v>
      </c>
      <c r="C200">
        <v>17600</v>
      </c>
      <c r="D200" t="s">
        <v>62</v>
      </c>
      <c r="E200">
        <v>2.7</v>
      </c>
      <c r="F200">
        <v>3.9</v>
      </c>
      <c r="G200">
        <v>1</v>
      </c>
      <c r="H200">
        <v>1.2</v>
      </c>
      <c r="I200">
        <v>1.2</v>
      </c>
      <c r="J200" t="s">
        <v>260</v>
      </c>
      <c r="K200" t="s">
        <v>697</v>
      </c>
      <c r="L200">
        <v>156</v>
      </c>
      <c r="M200">
        <v>1831</v>
      </c>
      <c r="N200">
        <v>1987</v>
      </c>
      <c r="O200">
        <v>6388</v>
      </c>
      <c r="P200">
        <v>1.1000000000000001</v>
      </c>
      <c r="Q200">
        <v>1.2</v>
      </c>
      <c r="R200">
        <v>490</v>
      </c>
      <c r="S200">
        <v>1</v>
      </c>
    </row>
    <row r="201" spans="1:19" x14ac:dyDescent="0.4">
      <c r="A201" t="s">
        <v>67</v>
      </c>
      <c r="B201">
        <v>202110</v>
      </c>
      <c r="C201">
        <v>17600</v>
      </c>
      <c r="D201" t="s">
        <v>64</v>
      </c>
      <c r="E201" t="s">
        <v>63</v>
      </c>
      <c r="F201" t="s">
        <v>63</v>
      </c>
      <c r="G201" t="s">
        <v>63</v>
      </c>
      <c r="H201" t="s">
        <v>63</v>
      </c>
      <c r="I201">
        <v>1280</v>
      </c>
      <c r="J201" t="s">
        <v>68</v>
      </c>
      <c r="K201" t="s">
        <v>68</v>
      </c>
      <c r="L201">
        <v>0</v>
      </c>
      <c r="M201">
        <v>0</v>
      </c>
      <c r="N201">
        <v>0</v>
      </c>
      <c r="O201">
        <v>301</v>
      </c>
      <c r="P201">
        <v>1140</v>
      </c>
      <c r="Q201">
        <v>1290</v>
      </c>
      <c r="R201">
        <v>1400</v>
      </c>
      <c r="S201">
        <v>410</v>
      </c>
    </row>
    <row r="202" spans="1:19" x14ac:dyDescent="0.4">
      <c r="A202" t="s">
        <v>67</v>
      </c>
      <c r="B202">
        <v>202110</v>
      </c>
      <c r="C202">
        <v>17700</v>
      </c>
      <c r="D202" t="s">
        <v>62</v>
      </c>
      <c r="E202">
        <v>2.1</v>
      </c>
      <c r="F202">
        <v>3.5</v>
      </c>
      <c r="G202">
        <v>1</v>
      </c>
      <c r="H202">
        <v>1.2</v>
      </c>
      <c r="I202">
        <v>1.2</v>
      </c>
      <c r="J202" t="s">
        <v>278</v>
      </c>
      <c r="K202" t="s">
        <v>710</v>
      </c>
      <c r="L202">
        <v>13</v>
      </c>
      <c r="M202">
        <v>820</v>
      </c>
      <c r="N202">
        <v>833</v>
      </c>
      <c r="O202">
        <v>4723</v>
      </c>
      <c r="P202">
        <v>1</v>
      </c>
      <c r="Q202">
        <v>1.2</v>
      </c>
      <c r="R202">
        <v>445</v>
      </c>
      <c r="S202">
        <v>1</v>
      </c>
    </row>
    <row r="203" spans="1:19" x14ac:dyDescent="0.4">
      <c r="A203" t="s">
        <v>67</v>
      </c>
      <c r="B203">
        <v>202110</v>
      </c>
      <c r="C203">
        <v>17700</v>
      </c>
      <c r="D203" t="s">
        <v>64</v>
      </c>
      <c r="E203" t="s">
        <v>63</v>
      </c>
      <c r="F203" t="s">
        <v>63</v>
      </c>
      <c r="G203" t="s">
        <v>63</v>
      </c>
      <c r="H203" t="s">
        <v>63</v>
      </c>
      <c r="I203">
        <v>1380</v>
      </c>
      <c r="J203" t="s">
        <v>68</v>
      </c>
      <c r="K203" t="s">
        <v>68</v>
      </c>
      <c r="L203">
        <v>0</v>
      </c>
      <c r="M203">
        <v>0</v>
      </c>
      <c r="N203">
        <v>0</v>
      </c>
      <c r="O203">
        <v>165</v>
      </c>
      <c r="P203">
        <v>1240</v>
      </c>
      <c r="Q203">
        <v>1390</v>
      </c>
      <c r="R203">
        <v>1480</v>
      </c>
      <c r="S203">
        <v>470</v>
      </c>
    </row>
    <row r="204" spans="1:19" x14ac:dyDescent="0.4">
      <c r="A204" t="s">
        <v>67</v>
      </c>
      <c r="B204">
        <v>202110</v>
      </c>
      <c r="C204">
        <v>17800</v>
      </c>
      <c r="D204" t="s">
        <v>62</v>
      </c>
      <c r="E204">
        <v>2.1</v>
      </c>
      <c r="F204">
        <v>2.9</v>
      </c>
      <c r="G204">
        <v>0.8</v>
      </c>
      <c r="H204">
        <v>0.8</v>
      </c>
      <c r="I204">
        <v>0.8</v>
      </c>
      <c r="J204" t="s">
        <v>258</v>
      </c>
      <c r="K204" t="s">
        <v>259</v>
      </c>
      <c r="L204">
        <v>94</v>
      </c>
      <c r="M204">
        <v>1279</v>
      </c>
      <c r="N204">
        <v>1373</v>
      </c>
      <c r="O204">
        <v>6899</v>
      </c>
      <c r="P204">
        <v>0.7</v>
      </c>
      <c r="Q204">
        <v>0.9</v>
      </c>
      <c r="R204">
        <v>403</v>
      </c>
      <c r="S204">
        <v>0.8</v>
      </c>
    </row>
    <row r="205" spans="1:19" x14ac:dyDescent="0.4">
      <c r="A205" t="s">
        <v>67</v>
      </c>
      <c r="B205">
        <v>202110</v>
      </c>
      <c r="C205">
        <v>17800</v>
      </c>
      <c r="D205" t="s">
        <v>64</v>
      </c>
      <c r="E205" t="s">
        <v>63</v>
      </c>
      <c r="F205" t="s">
        <v>63</v>
      </c>
      <c r="G205" t="s">
        <v>63</v>
      </c>
      <c r="H205" t="s">
        <v>63</v>
      </c>
      <c r="I205">
        <v>1480</v>
      </c>
      <c r="J205" t="s">
        <v>68</v>
      </c>
      <c r="K205" t="s">
        <v>68</v>
      </c>
      <c r="L205">
        <v>0</v>
      </c>
      <c r="M205">
        <v>0</v>
      </c>
      <c r="N205">
        <v>0</v>
      </c>
      <c r="O205">
        <v>54</v>
      </c>
      <c r="P205">
        <v>1340</v>
      </c>
      <c r="Q205">
        <v>1600</v>
      </c>
      <c r="R205">
        <v>1600</v>
      </c>
      <c r="S205">
        <v>525</v>
      </c>
    </row>
    <row r="206" spans="1:19" x14ac:dyDescent="0.4">
      <c r="A206" t="s">
        <v>67</v>
      </c>
      <c r="B206">
        <v>202110</v>
      </c>
      <c r="C206">
        <v>17900</v>
      </c>
      <c r="D206" t="s">
        <v>62</v>
      </c>
      <c r="E206">
        <v>1.3</v>
      </c>
      <c r="F206">
        <v>1.6</v>
      </c>
      <c r="G206">
        <v>0.2</v>
      </c>
      <c r="H206">
        <v>0.6</v>
      </c>
      <c r="I206">
        <v>0.6</v>
      </c>
      <c r="J206" t="s">
        <v>281</v>
      </c>
      <c r="K206" t="s">
        <v>341</v>
      </c>
      <c r="L206">
        <v>55</v>
      </c>
      <c r="M206">
        <v>584</v>
      </c>
      <c r="N206">
        <v>639</v>
      </c>
      <c r="O206">
        <v>5628</v>
      </c>
      <c r="P206">
        <v>0.6</v>
      </c>
      <c r="Q206">
        <v>0.8</v>
      </c>
      <c r="R206">
        <v>363</v>
      </c>
      <c r="S206">
        <v>0.2</v>
      </c>
    </row>
    <row r="207" spans="1:19" x14ac:dyDescent="0.4">
      <c r="A207" t="s">
        <v>67</v>
      </c>
      <c r="B207">
        <v>202110</v>
      </c>
      <c r="C207">
        <v>17900</v>
      </c>
      <c r="D207" t="s">
        <v>64</v>
      </c>
      <c r="E207" t="s">
        <v>63</v>
      </c>
      <c r="F207" t="s">
        <v>63</v>
      </c>
      <c r="G207" t="s">
        <v>63</v>
      </c>
      <c r="H207" t="s">
        <v>63</v>
      </c>
      <c r="I207">
        <v>1580</v>
      </c>
      <c r="J207" t="s">
        <v>68</v>
      </c>
      <c r="K207" t="s">
        <v>68</v>
      </c>
      <c r="L207">
        <v>0</v>
      </c>
      <c r="M207">
        <v>0</v>
      </c>
      <c r="N207">
        <v>0</v>
      </c>
      <c r="O207">
        <v>60</v>
      </c>
      <c r="P207">
        <v>1560</v>
      </c>
      <c r="Q207">
        <v>1700</v>
      </c>
      <c r="R207">
        <v>1760</v>
      </c>
      <c r="S207">
        <v>525</v>
      </c>
    </row>
    <row r="208" spans="1:19" x14ac:dyDescent="0.4">
      <c r="A208" t="s">
        <v>67</v>
      </c>
      <c r="B208">
        <v>202110</v>
      </c>
      <c r="C208">
        <v>18000</v>
      </c>
      <c r="D208" t="s">
        <v>62</v>
      </c>
      <c r="E208">
        <v>1.3</v>
      </c>
      <c r="F208">
        <v>2.4</v>
      </c>
      <c r="G208">
        <v>0.4</v>
      </c>
      <c r="H208">
        <v>0.6</v>
      </c>
      <c r="I208">
        <v>0.6</v>
      </c>
      <c r="J208" t="s">
        <v>104</v>
      </c>
      <c r="K208" t="s">
        <v>711</v>
      </c>
      <c r="L208">
        <v>261</v>
      </c>
      <c r="M208">
        <v>634</v>
      </c>
      <c r="N208">
        <v>895</v>
      </c>
      <c r="O208">
        <v>7698</v>
      </c>
      <c r="P208">
        <v>0.4</v>
      </c>
      <c r="Q208">
        <v>0.8</v>
      </c>
      <c r="R208">
        <v>317</v>
      </c>
      <c r="S208">
        <v>0.4</v>
      </c>
    </row>
    <row r="209" spans="1:19" x14ac:dyDescent="0.4">
      <c r="A209" t="s">
        <v>67</v>
      </c>
      <c r="B209">
        <v>202110</v>
      </c>
      <c r="C209">
        <v>18000</v>
      </c>
      <c r="D209" t="s">
        <v>64</v>
      </c>
      <c r="E209" t="s">
        <v>63</v>
      </c>
      <c r="F209" t="s">
        <v>63</v>
      </c>
      <c r="G209" t="s">
        <v>63</v>
      </c>
      <c r="H209" t="s">
        <v>63</v>
      </c>
      <c r="I209">
        <v>1680</v>
      </c>
      <c r="J209" t="s">
        <v>68</v>
      </c>
      <c r="K209" t="s">
        <v>68</v>
      </c>
      <c r="L209">
        <v>0</v>
      </c>
      <c r="M209">
        <v>0</v>
      </c>
      <c r="N209">
        <v>0</v>
      </c>
      <c r="O209">
        <v>21</v>
      </c>
      <c r="P209">
        <v>1640</v>
      </c>
      <c r="Q209">
        <v>1700</v>
      </c>
      <c r="R209">
        <v>1240</v>
      </c>
      <c r="S209">
        <v>660</v>
      </c>
    </row>
    <row r="210" spans="1:19" x14ac:dyDescent="0.4">
      <c r="A210" t="s">
        <v>67</v>
      </c>
      <c r="B210">
        <v>202110</v>
      </c>
      <c r="C210">
        <v>18100</v>
      </c>
      <c r="D210" t="s">
        <v>62</v>
      </c>
      <c r="E210">
        <v>0.5</v>
      </c>
      <c r="F210">
        <v>1.9</v>
      </c>
      <c r="G210">
        <v>0.3</v>
      </c>
      <c r="H210">
        <v>0.4</v>
      </c>
      <c r="I210">
        <v>0.4</v>
      </c>
      <c r="J210" t="s">
        <v>104</v>
      </c>
      <c r="K210" t="s">
        <v>231</v>
      </c>
      <c r="L210">
        <v>15</v>
      </c>
      <c r="M210">
        <v>79</v>
      </c>
      <c r="N210">
        <v>94</v>
      </c>
      <c r="O210">
        <v>5999</v>
      </c>
      <c r="P210">
        <v>0.3</v>
      </c>
      <c r="Q210">
        <v>0.7</v>
      </c>
      <c r="R210">
        <v>347</v>
      </c>
      <c r="S210">
        <v>0.3</v>
      </c>
    </row>
    <row r="211" spans="1:19" x14ac:dyDescent="0.4">
      <c r="A211" t="s">
        <v>67</v>
      </c>
      <c r="B211">
        <v>202110</v>
      </c>
      <c r="C211">
        <v>18100</v>
      </c>
      <c r="D211" t="s">
        <v>64</v>
      </c>
      <c r="E211" t="s">
        <v>63</v>
      </c>
      <c r="F211" t="s">
        <v>63</v>
      </c>
      <c r="G211" t="s">
        <v>63</v>
      </c>
      <c r="H211" t="s">
        <v>63</v>
      </c>
      <c r="I211">
        <v>1780</v>
      </c>
      <c r="J211" t="s">
        <v>68</v>
      </c>
      <c r="K211" t="s">
        <v>68</v>
      </c>
      <c r="L211">
        <v>0</v>
      </c>
      <c r="M211">
        <v>0</v>
      </c>
      <c r="N211">
        <v>0</v>
      </c>
      <c r="O211">
        <v>6</v>
      </c>
      <c r="P211">
        <v>1640</v>
      </c>
      <c r="Q211">
        <v>1900</v>
      </c>
      <c r="R211">
        <v>1280</v>
      </c>
      <c r="S211">
        <v>730</v>
      </c>
    </row>
    <row r="212" spans="1:19" x14ac:dyDescent="0.4">
      <c r="A212" t="s">
        <v>67</v>
      </c>
      <c r="B212">
        <v>202110</v>
      </c>
      <c r="C212">
        <v>18200</v>
      </c>
      <c r="D212" t="s">
        <v>62</v>
      </c>
      <c r="E212">
        <v>1</v>
      </c>
      <c r="F212">
        <v>2</v>
      </c>
      <c r="G212">
        <v>0.3</v>
      </c>
      <c r="H212">
        <v>0.3</v>
      </c>
      <c r="I212">
        <v>0.4</v>
      </c>
      <c r="J212" t="s">
        <v>122</v>
      </c>
      <c r="K212" t="s">
        <v>341</v>
      </c>
      <c r="L212">
        <v>1</v>
      </c>
      <c r="M212">
        <v>52</v>
      </c>
      <c r="N212">
        <v>53</v>
      </c>
      <c r="O212">
        <v>6671</v>
      </c>
      <c r="P212">
        <v>0.2</v>
      </c>
      <c r="Q212">
        <v>0.7</v>
      </c>
      <c r="R212">
        <v>245</v>
      </c>
      <c r="S212">
        <v>0.3</v>
      </c>
    </row>
    <row r="213" spans="1:19" x14ac:dyDescent="0.4">
      <c r="A213" t="s">
        <v>67</v>
      </c>
      <c r="B213">
        <v>202110</v>
      </c>
      <c r="C213">
        <v>18200</v>
      </c>
      <c r="D213" t="s">
        <v>64</v>
      </c>
      <c r="E213" t="s">
        <v>63</v>
      </c>
      <c r="F213" t="s">
        <v>63</v>
      </c>
      <c r="G213" t="s">
        <v>63</v>
      </c>
      <c r="H213" t="s">
        <v>63</v>
      </c>
      <c r="I213">
        <v>1880</v>
      </c>
      <c r="J213" t="s">
        <v>68</v>
      </c>
      <c r="K213" t="s">
        <v>68</v>
      </c>
      <c r="L213">
        <v>0</v>
      </c>
      <c r="M213">
        <v>0</v>
      </c>
      <c r="N213">
        <v>0</v>
      </c>
      <c r="O213">
        <v>0</v>
      </c>
      <c r="P213">
        <v>1740</v>
      </c>
      <c r="Q213">
        <v>2000</v>
      </c>
      <c r="R213">
        <v>1000</v>
      </c>
      <c r="S213">
        <v>800</v>
      </c>
    </row>
    <row r="214" spans="1:19" x14ac:dyDescent="0.4">
      <c r="A214" t="s">
        <v>67</v>
      </c>
      <c r="B214">
        <v>202110</v>
      </c>
      <c r="C214">
        <v>18300</v>
      </c>
      <c r="D214" t="s">
        <v>62</v>
      </c>
      <c r="E214">
        <v>0.1</v>
      </c>
      <c r="F214">
        <v>0.5</v>
      </c>
      <c r="G214">
        <v>0.1</v>
      </c>
      <c r="H214">
        <v>0.4</v>
      </c>
      <c r="I214">
        <v>0.4</v>
      </c>
      <c r="J214" t="s">
        <v>70</v>
      </c>
      <c r="K214" t="s">
        <v>143</v>
      </c>
      <c r="L214">
        <v>7</v>
      </c>
      <c r="M214">
        <v>47</v>
      </c>
      <c r="N214">
        <v>54</v>
      </c>
      <c r="O214">
        <v>3912</v>
      </c>
      <c r="P214">
        <v>0.1</v>
      </c>
      <c r="Q214">
        <v>0.4</v>
      </c>
      <c r="R214">
        <v>225</v>
      </c>
      <c r="S214">
        <v>0.1</v>
      </c>
    </row>
    <row r="215" spans="1:19" x14ac:dyDescent="0.4">
      <c r="A215" t="s">
        <v>67</v>
      </c>
      <c r="B215">
        <v>202110</v>
      </c>
      <c r="C215">
        <v>18300</v>
      </c>
      <c r="D215" t="s">
        <v>64</v>
      </c>
      <c r="E215" t="s">
        <v>63</v>
      </c>
      <c r="F215" t="s">
        <v>63</v>
      </c>
      <c r="G215" t="s">
        <v>63</v>
      </c>
      <c r="H215" t="s">
        <v>63</v>
      </c>
      <c r="I215">
        <v>1980</v>
      </c>
      <c r="J215" t="s">
        <v>68</v>
      </c>
      <c r="K215" t="s">
        <v>68</v>
      </c>
      <c r="L215">
        <v>0</v>
      </c>
      <c r="M215">
        <v>0</v>
      </c>
      <c r="N215">
        <v>0</v>
      </c>
      <c r="O215">
        <v>1</v>
      </c>
      <c r="P215">
        <v>1800</v>
      </c>
      <c r="Q215">
        <v>2090</v>
      </c>
      <c r="R215">
        <v>1080</v>
      </c>
      <c r="S215">
        <v>1070</v>
      </c>
    </row>
    <row r="216" spans="1:19" x14ac:dyDescent="0.4">
      <c r="A216" t="s">
        <v>67</v>
      </c>
      <c r="B216">
        <v>202110</v>
      </c>
      <c r="C216">
        <v>18400</v>
      </c>
      <c r="D216" t="s">
        <v>62</v>
      </c>
      <c r="E216">
        <v>0.4</v>
      </c>
      <c r="F216">
        <v>0.4</v>
      </c>
      <c r="G216">
        <v>0.2</v>
      </c>
      <c r="H216">
        <v>0.3</v>
      </c>
      <c r="I216">
        <v>0.4</v>
      </c>
      <c r="J216" t="s">
        <v>70</v>
      </c>
      <c r="K216" t="s">
        <v>256</v>
      </c>
      <c r="L216">
        <v>1</v>
      </c>
      <c r="M216">
        <v>29</v>
      </c>
      <c r="N216">
        <v>30</v>
      </c>
      <c r="O216">
        <v>2406</v>
      </c>
      <c r="P216">
        <v>0.1</v>
      </c>
      <c r="Q216">
        <v>0.8</v>
      </c>
      <c r="R216">
        <v>297</v>
      </c>
      <c r="S216">
        <v>0.2</v>
      </c>
    </row>
    <row r="217" spans="1:19" x14ac:dyDescent="0.4">
      <c r="A217" t="s">
        <v>67</v>
      </c>
      <c r="B217">
        <v>202110</v>
      </c>
      <c r="C217">
        <v>18400</v>
      </c>
      <c r="D217" t="s">
        <v>64</v>
      </c>
      <c r="E217">
        <v>1930</v>
      </c>
      <c r="F217">
        <v>1930</v>
      </c>
      <c r="G217">
        <v>1920</v>
      </c>
      <c r="H217">
        <v>1920</v>
      </c>
      <c r="I217">
        <v>2080</v>
      </c>
      <c r="J217" t="s">
        <v>216</v>
      </c>
      <c r="K217" t="s">
        <v>712</v>
      </c>
      <c r="L217">
        <v>0</v>
      </c>
      <c r="M217">
        <v>112</v>
      </c>
      <c r="N217">
        <v>112</v>
      </c>
      <c r="O217">
        <v>50</v>
      </c>
      <c r="P217">
        <v>1870</v>
      </c>
      <c r="Q217">
        <v>2190</v>
      </c>
      <c r="R217">
        <v>2030</v>
      </c>
      <c r="S217">
        <v>1010</v>
      </c>
    </row>
    <row r="218" spans="1:19" x14ac:dyDescent="0.4">
      <c r="A218" t="s">
        <v>67</v>
      </c>
      <c r="B218">
        <v>202110</v>
      </c>
      <c r="C218">
        <v>18500</v>
      </c>
      <c r="D218" t="s">
        <v>62</v>
      </c>
      <c r="E218">
        <v>0.4</v>
      </c>
      <c r="F218">
        <v>0.9</v>
      </c>
      <c r="G218">
        <v>0.2</v>
      </c>
      <c r="H218">
        <v>0.2</v>
      </c>
      <c r="I218">
        <v>0.4</v>
      </c>
      <c r="J218" t="s">
        <v>70</v>
      </c>
      <c r="K218" t="s">
        <v>125</v>
      </c>
      <c r="L218">
        <v>0</v>
      </c>
      <c r="M218">
        <v>13</v>
      </c>
      <c r="N218">
        <v>13</v>
      </c>
      <c r="O218">
        <v>2957</v>
      </c>
      <c r="P218">
        <v>0.1</v>
      </c>
      <c r="Q218">
        <v>0.9</v>
      </c>
      <c r="R218">
        <v>174</v>
      </c>
      <c r="S218">
        <v>0.1</v>
      </c>
    </row>
    <row r="219" spans="1:19" x14ac:dyDescent="0.4">
      <c r="A219" t="s">
        <v>67</v>
      </c>
      <c r="B219">
        <v>202110</v>
      </c>
      <c r="C219">
        <v>18500</v>
      </c>
      <c r="D219" t="s">
        <v>64</v>
      </c>
      <c r="E219" t="s">
        <v>63</v>
      </c>
      <c r="F219" t="s">
        <v>63</v>
      </c>
      <c r="G219" t="s">
        <v>63</v>
      </c>
      <c r="H219" t="s">
        <v>63</v>
      </c>
      <c r="I219">
        <v>2180</v>
      </c>
      <c r="J219" t="s">
        <v>68</v>
      </c>
      <c r="K219" t="s">
        <v>68</v>
      </c>
      <c r="L219">
        <v>0</v>
      </c>
      <c r="M219">
        <v>0</v>
      </c>
      <c r="N219">
        <v>0</v>
      </c>
      <c r="O219">
        <v>0</v>
      </c>
      <c r="P219">
        <v>1970</v>
      </c>
      <c r="Q219">
        <v>2290</v>
      </c>
      <c r="R219">
        <v>1180</v>
      </c>
      <c r="S219">
        <v>1160</v>
      </c>
    </row>
    <row r="220" spans="1:19" x14ac:dyDescent="0.4">
      <c r="A220" t="s">
        <v>67</v>
      </c>
      <c r="B220">
        <v>202110</v>
      </c>
      <c r="C220">
        <v>18600</v>
      </c>
      <c r="D220" t="s">
        <v>62</v>
      </c>
      <c r="E220">
        <v>0.2</v>
      </c>
      <c r="F220">
        <v>0.2</v>
      </c>
      <c r="G220">
        <v>0.2</v>
      </c>
      <c r="H220">
        <v>0.2</v>
      </c>
      <c r="I220">
        <v>0.4</v>
      </c>
      <c r="J220" t="s">
        <v>70</v>
      </c>
      <c r="K220" s="28" t="s">
        <v>125</v>
      </c>
      <c r="L220">
        <v>1</v>
      </c>
      <c r="M220">
        <v>2</v>
      </c>
      <c r="N220">
        <v>3</v>
      </c>
      <c r="O220">
        <v>2831</v>
      </c>
      <c r="P220" t="s">
        <v>63</v>
      </c>
      <c r="Q220">
        <v>0.9</v>
      </c>
      <c r="R220">
        <v>136</v>
      </c>
      <c r="S220">
        <v>0.2</v>
      </c>
    </row>
    <row r="221" spans="1:19" x14ac:dyDescent="0.4">
      <c r="A221" t="s">
        <v>67</v>
      </c>
      <c r="B221">
        <v>202110</v>
      </c>
      <c r="C221">
        <v>18600</v>
      </c>
      <c r="D221" t="s">
        <v>64</v>
      </c>
      <c r="E221" t="s">
        <v>63</v>
      </c>
      <c r="F221" t="s">
        <v>63</v>
      </c>
      <c r="G221" t="s">
        <v>63</v>
      </c>
      <c r="H221" t="s">
        <v>63</v>
      </c>
      <c r="I221">
        <v>2280</v>
      </c>
      <c r="J221" t="s">
        <v>68</v>
      </c>
      <c r="K221" t="s">
        <v>68</v>
      </c>
      <c r="L221">
        <v>0</v>
      </c>
      <c r="M221">
        <v>0</v>
      </c>
      <c r="N221">
        <v>0</v>
      </c>
      <c r="O221">
        <v>0</v>
      </c>
      <c r="P221">
        <v>2070</v>
      </c>
      <c r="Q221">
        <v>2390</v>
      </c>
      <c r="R221" t="s">
        <v>63</v>
      </c>
      <c r="S221" t="s">
        <v>63</v>
      </c>
    </row>
    <row r="222" spans="1:19" x14ac:dyDescent="0.4">
      <c r="A222" t="s">
        <v>67</v>
      </c>
      <c r="B222">
        <v>202110</v>
      </c>
      <c r="C222">
        <v>18700</v>
      </c>
      <c r="D222" t="s">
        <v>62</v>
      </c>
      <c r="E222">
        <v>0.2</v>
      </c>
      <c r="F222">
        <v>0.2</v>
      </c>
      <c r="G222">
        <v>0.2</v>
      </c>
      <c r="H222">
        <v>0.2</v>
      </c>
      <c r="I222">
        <v>0.4</v>
      </c>
      <c r="J222" t="s">
        <v>73</v>
      </c>
      <c r="K222" s="28">
        <v>0</v>
      </c>
      <c r="L222">
        <v>0</v>
      </c>
      <c r="M222">
        <v>16</v>
      </c>
      <c r="N222">
        <v>16</v>
      </c>
      <c r="O222">
        <v>1027</v>
      </c>
      <c r="P222" t="s">
        <v>63</v>
      </c>
      <c r="Q222">
        <v>0.5</v>
      </c>
      <c r="R222">
        <v>136</v>
      </c>
      <c r="S222">
        <v>0.1</v>
      </c>
    </row>
    <row r="223" spans="1:19" x14ac:dyDescent="0.4">
      <c r="A223" t="s">
        <v>67</v>
      </c>
      <c r="B223">
        <v>202110</v>
      </c>
      <c r="C223">
        <v>18700</v>
      </c>
      <c r="D223" t="s">
        <v>64</v>
      </c>
      <c r="E223" t="s">
        <v>63</v>
      </c>
      <c r="F223" t="s">
        <v>63</v>
      </c>
      <c r="G223" t="s">
        <v>63</v>
      </c>
      <c r="H223" t="s">
        <v>63</v>
      </c>
      <c r="I223">
        <v>2380</v>
      </c>
      <c r="J223" t="s">
        <v>68</v>
      </c>
      <c r="K223" t="s">
        <v>68</v>
      </c>
      <c r="L223">
        <v>0</v>
      </c>
      <c r="M223">
        <v>0</v>
      </c>
      <c r="N223">
        <v>0</v>
      </c>
      <c r="O223">
        <v>0</v>
      </c>
      <c r="P223">
        <v>2170</v>
      </c>
      <c r="Q223">
        <v>2490</v>
      </c>
      <c r="R223" t="s">
        <v>63</v>
      </c>
      <c r="S223" t="s">
        <v>63</v>
      </c>
    </row>
    <row r="224" spans="1:19" x14ac:dyDescent="0.4">
      <c r="A224" t="s">
        <v>67</v>
      </c>
      <c r="B224">
        <v>202110</v>
      </c>
      <c r="C224">
        <v>18800</v>
      </c>
      <c r="D224" t="s">
        <v>62</v>
      </c>
      <c r="E224">
        <v>0.1</v>
      </c>
      <c r="F224">
        <v>0.2</v>
      </c>
      <c r="G224">
        <v>0.1</v>
      </c>
      <c r="H224">
        <v>0.2</v>
      </c>
      <c r="I224">
        <v>0.4</v>
      </c>
      <c r="J224" t="s">
        <v>73</v>
      </c>
      <c r="K224" s="28">
        <v>0</v>
      </c>
      <c r="L224">
        <v>0</v>
      </c>
      <c r="M224">
        <v>6</v>
      </c>
      <c r="N224">
        <v>6</v>
      </c>
      <c r="O224">
        <v>753</v>
      </c>
      <c r="P224">
        <v>0.1</v>
      </c>
      <c r="Q224">
        <v>1</v>
      </c>
      <c r="R224">
        <v>120</v>
      </c>
      <c r="S224">
        <v>0.1</v>
      </c>
    </row>
    <row r="225" spans="1:19" x14ac:dyDescent="0.4">
      <c r="A225" t="s">
        <v>67</v>
      </c>
      <c r="B225">
        <v>202110</v>
      </c>
      <c r="C225">
        <v>18800</v>
      </c>
      <c r="D225" t="s">
        <v>64</v>
      </c>
      <c r="E225" t="s">
        <v>63</v>
      </c>
      <c r="F225" t="s">
        <v>63</v>
      </c>
      <c r="G225" t="s">
        <v>63</v>
      </c>
      <c r="H225" t="s">
        <v>63</v>
      </c>
      <c r="I225">
        <v>2480</v>
      </c>
      <c r="J225" t="s">
        <v>68</v>
      </c>
      <c r="K225" t="s">
        <v>68</v>
      </c>
      <c r="L225">
        <v>0</v>
      </c>
      <c r="M225">
        <v>0</v>
      </c>
      <c r="N225">
        <v>0</v>
      </c>
      <c r="O225">
        <v>0</v>
      </c>
      <c r="P225">
        <v>2270</v>
      </c>
      <c r="Q225">
        <v>2590</v>
      </c>
      <c r="R225" t="s">
        <v>63</v>
      </c>
      <c r="S225" t="s">
        <v>63</v>
      </c>
    </row>
    <row r="226" spans="1:19" x14ac:dyDescent="0.4">
      <c r="A226" t="s">
        <v>67</v>
      </c>
      <c r="B226">
        <v>202110</v>
      </c>
      <c r="C226">
        <v>18900</v>
      </c>
      <c r="D226" t="s">
        <v>62</v>
      </c>
      <c r="E226">
        <v>0.2</v>
      </c>
      <c r="F226">
        <v>0.8</v>
      </c>
      <c r="G226">
        <v>0.2</v>
      </c>
      <c r="H226">
        <v>0.8</v>
      </c>
      <c r="I226">
        <v>0.4</v>
      </c>
      <c r="J226" t="s">
        <v>219</v>
      </c>
      <c r="K226" s="28" t="s">
        <v>713</v>
      </c>
      <c r="L226">
        <v>1</v>
      </c>
      <c r="M226">
        <v>3</v>
      </c>
      <c r="N226">
        <v>4</v>
      </c>
      <c r="O226">
        <v>887</v>
      </c>
      <c r="P226" t="s">
        <v>63</v>
      </c>
      <c r="Q226">
        <v>0.8</v>
      </c>
      <c r="R226">
        <v>75</v>
      </c>
      <c r="S226">
        <v>0.1</v>
      </c>
    </row>
    <row r="227" spans="1:19" x14ac:dyDescent="0.4">
      <c r="A227" t="s">
        <v>67</v>
      </c>
      <c r="B227">
        <v>202110</v>
      </c>
      <c r="C227">
        <v>18900</v>
      </c>
      <c r="D227" t="s">
        <v>64</v>
      </c>
      <c r="E227" t="s">
        <v>63</v>
      </c>
      <c r="F227" t="s">
        <v>63</v>
      </c>
      <c r="G227" t="s">
        <v>63</v>
      </c>
      <c r="H227" t="s">
        <v>63</v>
      </c>
      <c r="I227">
        <v>2580</v>
      </c>
      <c r="J227" t="s">
        <v>68</v>
      </c>
      <c r="K227" t="s">
        <v>68</v>
      </c>
      <c r="L227">
        <v>0</v>
      </c>
      <c r="M227">
        <v>0</v>
      </c>
      <c r="N227">
        <v>0</v>
      </c>
      <c r="O227">
        <v>0</v>
      </c>
      <c r="P227">
        <v>2370</v>
      </c>
      <c r="Q227">
        <v>2690</v>
      </c>
      <c r="R227" t="s">
        <v>63</v>
      </c>
      <c r="S227" t="s">
        <v>63</v>
      </c>
    </row>
    <row r="228" spans="1:19" x14ac:dyDescent="0.4">
      <c r="A228" t="s">
        <v>67</v>
      </c>
      <c r="B228">
        <v>202110</v>
      </c>
      <c r="C228">
        <v>19000</v>
      </c>
      <c r="D228" t="s">
        <v>62</v>
      </c>
      <c r="E228">
        <v>0.2</v>
      </c>
      <c r="F228">
        <v>0.2</v>
      </c>
      <c r="G228">
        <v>0.2</v>
      </c>
      <c r="H228">
        <v>0.2</v>
      </c>
      <c r="I228">
        <v>0.4</v>
      </c>
      <c r="J228" t="s">
        <v>73</v>
      </c>
      <c r="K228" s="28">
        <v>0</v>
      </c>
      <c r="L228">
        <v>3</v>
      </c>
      <c r="M228">
        <v>4</v>
      </c>
      <c r="N228">
        <v>7</v>
      </c>
      <c r="O228">
        <v>1097</v>
      </c>
      <c r="P228" t="s">
        <v>63</v>
      </c>
      <c r="Q228">
        <v>0.8</v>
      </c>
      <c r="R228">
        <v>65</v>
      </c>
      <c r="S228">
        <v>0.2</v>
      </c>
    </row>
    <row r="229" spans="1:19" x14ac:dyDescent="0.4">
      <c r="A229" t="s">
        <v>67</v>
      </c>
      <c r="B229">
        <v>202110</v>
      </c>
      <c r="C229">
        <v>19000</v>
      </c>
      <c r="D229" t="s">
        <v>64</v>
      </c>
      <c r="E229" t="s">
        <v>63</v>
      </c>
      <c r="F229" t="s">
        <v>63</v>
      </c>
      <c r="G229" t="s">
        <v>63</v>
      </c>
      <c r="H229" t="s">
        <v>63</v>
      </c>
      <c r="I229">
        <v>2680</v>
      </c>
      <c r="J229" t="s">
        <v>68</v>
      </c>
      <c r="K229" t="s">
        <v>68</v>
      </c>
      <c r="L229">
        <v>0</v>
      </c>
      <c r="M229">
        <v>0</v>
      </c>
      <c r="N229">
        <v>0</v>
      </c>
      <c r="O229">
        <v>0</v>
      </c>
      <c r="P229">
        <v>2470</v>
      </c>
      <c r="Q229">
        <v>2790</v>
      </c>
      <c r="R229" t="s">
        <v>63</v>
      </c>
      <c r="S229" t="s">
        <v>63</v>
      </c>
    </row>
    <row r="230" spans="1:19" x14ac:dyDescent="0.4">
      <c r="A230" t="s">
        <v>67</v>
      </c>
      <c r="B230">
        <v>202110</v>
      </c>
      <c r="C230">
        <v>19100</v>
      </c>
      <c r="D230" t="s">
        <v>62</v>
      </c>
      <c r="E230" t="s">
        <v>63</v>
      </c>
      <c r="F230" t="s">
        <v>63</v>
      </c>
      <c r="G230" t="s">
        <v>63</v>
      </c>
      <c r="H230" t="s">
        <v>63</v>
      </c>
      <c r="I230">
        <v>0.4</v>
      </c>
      <c r="J230" t="s">
        <v>68</v>
      </c>
      <c r="K230" t="s">
        <v>68</v>
      </c>
      <c r="L230">
        <v>0</v>
      </c>
      <c r="M230">
        <v>0</v>
      </c>
      <c r="N230">
        <v>0</v>
      </c>
      <c r="O230">
        <v>210</v>
      </c>
      <c r="P230" t="s">
        <v>63</v>
      </c>
      <c r="Q230">
        <v>0.9</v>
      </c>
      <c r="R230">
        <v>57</v>
      </c>
      <c r="S230">
        <v>0.2</v>
      </c>
    </row>
    <row r="231" spans="1:19" x14ac:dyDescent="0.4">
      <c r="A231" t="s">
        <v>67</v>
      </c>
      <c r="B231">
        <v>202110</v>
      </c>
      <c r="C231">
        <v>19100</v>
      </c>
      <c r="D231" t="s">
        <v>64</v>
      </c>
      <c r="E231" t="s">
        <v>63</v>
      </c>
      <c r="F231" t="s">
        <v>63</v>
      </c>
      <c r="G231" t="s">
        <v>63</v>
      </c>
      <c r="H231" t="s">
        <v>63</v>
      </c>
      <c r="I231">
        <v>2780</v>
      </c>
      <c r="J231" t="s">
        <v>68</v>
      </c>
      <c r="K231" t="s">
        <v>68</v>
      </c>
      <c r="L231">
        <v>0</v>
      </c>
      <c r="M231">
        <v>0</v>
      </c>
      <c r="N231">
        <v>0</v>
      </c>
      <c r="O231">
        <v>0</v>
      </c>
      <c r="P231">
        <v>2570</v>
      </c>
      <c r="Q231">
        <v>2890</v>
      </c>
      <c r="R231" t="s">
        <v>63</v>
      </c>
      <c r="S231" t="s">
        <v>63</v>
      </c>
    </row>
    <row r="232" spans="1:19" x14ac:dyDescent="0.4">
      <c r="A232" t="s">
        <v>67</v>
      </c>
      <c r="B232">
        <v>202110</v>
      </c>
      <c r="C232">
        <v>19200</v>
      </c>
      <c r="D232" t="s">
        <v>62</v>
      </c>
      <c r="E232" t="s">
        <v>63</v>
      </c>
      <c r="F232" t="s">
        <v>63</v>
      </c>
      <c r="G232" t="s">
        <v>63</v>
      </c>
      <c r="H232" t="s">
        <v>63</v>
      </c>
      <c r="I232">
        <v>0.4</v>
      </c>
      <c r="J232" t="s">
        <v>68</v>
      </c>
      <c r="K232" t="s">
        <v>68</v>
      </c>
      <c r="L232">
        <v>0</v>
      </c>
      <c r="M232">
        <v>0</v>
      </c>
      <c r="N232">
        <v>0</v>
      </c>
      <c r="O232">
        <v>249</v>
      </c>
      <c r="P232" t="s">
        <v>63</v>
      </c>
      <c r="Q232">
        <v>0.9</v>
      </c>
      <c r="R232">
        <v>58</v>
      </c>
      <c r="S232">
        <v>0.2</v>
      </c>
    </row>
    <row r="233" spans="1:19" x14ac:dyDescent="0.4">
      <c r="A233" t="s">
        <v>67</v>
      </c>
      <c r="B233">
        <v>202110</v>
      </c>
      <c r="C233">
        <v>19200</v>
      </c>
      <c r="D233" t="s">
        <v>64</v>
      </c>
      <c r="E233" t="s">
        <v>63</v>
      </c>
      <c r="F233" t="s">
        <v>63</v>
      </c>
      <c r="G233" t="s">
        <v>63</v>
      </c>
      <c r="H233" t="s">
        <v>63</v>
      </c>
      <c r="I233">
        <v>2880</v>
      </c>
      <c r="J233" t="s">
        <v>68</v>
      </c>
      <c r="K233" t="s">
        <v>68</v>
      </c>
      <c r="L233">
        <v>0</v>
      </c>
      <c r="M233">
        <v>0</v>
      </c>
      <c r="N233">
        <v>0</v>
      </c>
      <c r="O233">
        <v>0</v>
      </c>
      <c r="P233">
        <v>2670</v>
      </c>
      <c r="Q233">
        <v>2990</v>
      </c>
      <c r="R233" t="s">
        <v>63</v>
      </c>
      <c r="S233" t="s">
        <v>63</v>
      </c>
    </row>
    <row r="234" spans="1:19" x14ac:dyDescent="0.4">
      <c r="A234" t="s">
        <v>67</v>
      </c>
      <c r="B234">
        <v>202110</v>
      </c>
      <c r="C234">
        <v>19300</v>
      </c>
      <c r="D234" t="s">
        <v>62</v>
      </c>
      <c r="E234" t="s">
        <v>63</v>
      </c>
      <c r="F234" t="s">
        <v>63</v>
      </c>
      <c r="G234" t="s">
        <v>63</v>
      </c>
      <c r="H234" t="s">
        <v>63</v>
      </c>
      <c r="I234">
        <v>0.4</v>
      </c>
      <c r="J234" t="s">
        <v>68</v>
      </c>
      <c r="K234" t="s">
        <v>68</v>
      </c>
      <c r="L234">
        <v>7</v>
      </c>
      <c r="M234">
        <v>0</v>
      </c>
      <c r="N234">
        <v>7</v>
      </c>
      <c r="O234">
        <v>156</v>
      </c>
      <c r="P234" t="s">
        <v>63</v>
      </c>
      <c r="Q234">
        <v>0.8</v>
      </c>
      <c r="R234">
        <v>22</v>
      </c>
      <c r="S234">
        <v>0.8</v>
      </c>
    </row>
    <row r="235" spans="1:19" x14ac:dyDescent="0.4">
      <c r="A235" t="s">
        <v>67</v>
      </c>
      <c r="B235">
        <v>202110</v>
      </c>
      <c r="C235">
        <v>19300</v>
      </c>
      <c r="D235" t="s">
        <v>64</v>
      </c>
      <c r="E235" t="s">
        <v>63</v>
      </c>
      <c r="F235" t="s">
        <v>63</v>
      </c>
      <c r="G235" t="s">
        <v>63</v>
      </c>
      <c r="H235" t="s">
        <v>63</v>
      </c>
      <c r="I235">
        <v>2980</v>
      </c>
      <c r="J235" t="s">
        <v>68</v>
      </c>
      <c r="K235" t="s">
        <v>68</v>
      </c>
      <c r="L235">
        <v>0</v>
      </c>
      <c r="M235">
        <v>0</v>
      </c>
      <c r="N235">
        <v>0</v>
      </c>
      <c r="O235">
        <v>0</v>
      </c>
      <c r="P235">
        <v>2770</v>
      </c>
      <c r="Q235">
        <v>3090</v>
      </c>
      <c r="R235" t="s">
        <v>63</v>
      </c>
      <c r="S235" t="s">
        <v>63</v>
      </c>
    </row>
    <row r="236" spans="1:19" x14ac:dyDescent="0.4">
      <c r="A236" t="s">
        <v>67</v>
      </c>
      <c r="B236">
        <v>202110</v>
      </c>
      <c r="C236">
        <v>19400</v>
      </c>
      <c r="D236" t="s">
        <v>62</v>
      </c>
      <c r="E236" t="s">
        <v>63</v>
      </c>
      <c r="F236" t="s">
        <v>63</v>
      </c>
      <c r="G236" t="s">
        <v>63</v>
      </c>
      <c r="H236" t="s">
        <v>63</v>
      </c>
      <c r="I236">
        <v>0.3</v>
      </c>
      <c r="J236" t="s">
        <v>68</v>
      </c>
      <c r="K236" t="s">
        <v>68</v>
      </c>
      <c r="L236">
        <v>0</v>
      </c>
      <c r="M236">
        <v>0</v>
      </c>
      <c r="N236">
        <v>0</v>
      </c>
      <c r="O236">
        <v>219</v>
      </c>
      <c r="P236" t="s">
        <v>63</v>
      </c>
      <c r="Q236">
        <v>0.8</v>
      </c>
      <c r="R236">
        <v>55</v>
      </c>
      <c r="S236">
        <v>0.4</v>
      </c>
    </row>
    <row r="237" spans="1:19" x14ac:dyDescent="0.4">
      <c r="A237" t="s">
        <v>67</v>
      </c>
      <c r="B237">
        <v>202110</v>
      </c>
      <c r="C237">
        <v>19400</v>
      </c>
      <c r="D237" t="s">
        <v>64</v>
      </c>
      <c r="E237" t="s">
        <v>63</v>
      </c>
      <c r="F237" t="s">
        <v>63</v>
      </c>
      <c r="G237" t="s">
        <v>63</v>
      </c>
      <c r="H237" t="s">
        <v>63</v>
      </c>
      <c r="I237">
        <v>3080</v>
      </c>
      <c r="J237" t="s">
        <v>68</v>
      </c>
      <c r="K237" t="s">
        <v>68</v>
      </c>
      <c r="L237">
        <v>0</v>
      </c>
      <c r="M237">
        <v>0</v>
      </c>
      <c r="N237">
        <v>0</v>
      </c>
      <c r="O237">
        <v>0</v>
      </c>
      <c r="P237">
        <v>2870</v>
      </c>
      <c r="Q237">
        <v>3190</v>
      </c>
      <c r="R237" t="s">
        <v>63</v>
      </c>
      <c r="S237" t="s">
        <v>63</v>
      </c>
    </row>
    <row r="238" spans="1:19" x14ac:dyDescent="0.4">
      <c r="A238" t="s">
        <v>67</v>
      </c>
      <c r="B238">
        <v>202110</v>
      </c>
      <c r="C238">
        <v>19500</v>
      </c>
      <c r="D238" t="s">
        <v>62</v>
      </c>
      <c r="E238" t="s">
        <v>63</v>
      </c>
      <c r="F238" t="s">
        <v>63</v>
      </c>
      <c r="G238" t="s">
        <v>63</v>
      </c>
      <c r="H238" t="s">
        <v>63</v>
      </c>
      <c r="I238">
        <v>0.3</v>
      </c>
      <c r="J238" t="s">
        <v>68</v>
      </c>
      <c r="K238" t="s">
        <v>68</v>
      </c>
      <c r="L238">
        <v>0</v>
      </c>
      <c r="M238">
        <v>0</v>
      </c>
      <c r="N238">
        <v>0</v>
      </c>
      <c r="O238">
        <v>126</v>
      </c>
      <c r="P238" t="s">
        <v>63</v>
      </c>
      <c r="Q238">
        <v>0.7</v>
      </c>
      <c r="R238">
        <v>42</v>
      </c>
      <c r="S238">
        <v>0.4</v>
      </c>
    </row>
    <row r="239" spans="1:19" x14ac:dyDescent="0.4">
      <c r="A239" t="s">
        <v>67</v>
      </c>
      <c r="B239">
        <v>202110</v>
      </c>
      <c r="C239">
        <v>19500</v>
      </c>
      <c r="D239" t="s">
        <v>64</v>
      </c>
      <c r="E239" t="s">
        <v>63</v>
      </c>
      <c r="F239" t="s">
        <v>63</v>
      </c>
      <c r="G239" t="s">
        <v>63</v>
      </c>
      <c r="H239" t="s">
        <v>63</v>
      </c>
      <c r="I239">
        <v>3180</v>
      </c>
      <c r="J239" t="s">
        <v>68</v>
      </c>
      <c r="K239" t="s">
        <v>68</v>
      </c>
      <c r="L239">
        <v>0</v>
      </c>
      <c r="M239">
        <v>0</v>
      </c>
      <c r="N239">
        <v>0</v>
      </c>
      <c r="O239">
        <v>0</v>
      </c>
      <c r="P239">
        <v>2970</v>
      </c>
      <c r="Q239">
        <v>3290</v>
      </c>
      <c r="R239" t="s">
        <v>63</v>
      </c>
      <c r="S239" t="s">
        <v>63</v>
      </c>
    </row>
    <row r="240" spans="1:19" x14ac:dyDescent="0.4">
      <c r="A240" t="s">
        <v>67</v>
      </c>
      <c r="B240">
        <v>202110</v>
      </c>
      <c r="C240">
        <v>19600</v>
      </c>
      <c r="D240" t="s">
        <v>62</v>
      </c>
      <c r="E240" t="s">
        <v>63</v>
      </c>
      <c r="F240" t="s">
        <v>63</v>
      </c>
      <c r="G240" t="s">
        <v>63</v>
      </c>
      <c r="H240" t="s">
        <v>63</v>
      </c>
      <c r="I240">
        <v>0.3</v>
      </c>
      <c r="J240" t="s">
        <v>68</v>
      </c>
      <c r="K240" t="s">
        <v>68</v>
      </c>
      <c r="L240">
        <v>0</v>
      </c>
      <c r="M240">
        <v>0</v>
      </c>
      <c r="N240">
        <v>0</v>
      </c>
      <c r="O240">
        <v>39</v>
      </c>
      <c r="P240" t="s">
        <v>63</v>
      </c>
      <c r="Q240">
        <v>0.8</v>
      </c>
      <c r="R240">
        <v>36.5</v>
      </c>
      <c r="S240">
        <v>0.7</v>
      </c>
    </row>
    <row r="241" spans="1:19" x14ac:dyDescent="0.4">
      <c r="A241" t="s">
        <v>67</v>
      </c>
      <c r="B241">
        <v>202110</v>
      </c>
      <c r="C241">
        <v>19600</v>
      </c>
      <c r="D241" t="s">
        <v>64</v>
      </c>
      <c r="E241" t="s">
        <v>63</v>
      </c>
      <c r="F241" t="s">
        <v>63</v>
      </c>
      <c r="G241" t="s">
        <v>63</v>
      </c>
      <c r="H241" t="s">
        <v>63</v>
      </c>
      <c r="I241">
        <v>3280</v>
      </c>
      <c r="J241" t="s">
        <v>68</v>
      </c>
      <c r="K241" t="s">
        <v>68</v>
      </c>
      <c r="L241">
        <v>0</v>
      </c>
      <c r="M241">
        <v>0</v>
      </c>
      <c r="N241">
        <v>0</v>
      </c>
      <c r="O241">
        <v>0</v>
      </c>
      <c r="P241">
        <v>3070</v>
      </c>
      <c r="Q241">
        <v>3390</v>
      </c>
      <c r="R241" t="s">
        <v>63</v>
      </c>
      <c r="S241" t="s">
        <v>63</v>
      </c>
    </row>
    <row r="242" spans="1:19" x14ac:dyDescent="0.4">
      <c r="A242" t="s">
        <v>67</v>
      </c>
      <c r="B242">
        <v>202110</v>
      </c>
      <c r="C242">
        <v>19700</v>
      </c>
      <c r="D242" t="s">
        <v>62</v>
      </c>
      <c r="E242" t="s">
        <v>63</v>
      </c>
      <c r="F242" t="s">
        <v>63</v>
      </c>
      <c r="G242" t="s">
        <v>63</v>
      </c>
      <c r="H242" t="s">
        <v>63</v>
      </c>
      <c r="I242">
        <v>0.2</v>
      </c>
      <c r="J242" t="s">
        <v>68</v>
      </c>
      <c r="K242" t="s">
        <v>68</v>
      </c>
      <c r="L242">
        <v>0</v>
      </c>
      <c r="M242">
        <v>0</v>
      </c>
      <c r="N242">
        <v>0</v>
      </c>
      <c r="O242">
        <v>72</v>
      </c>
      <c r="P242" t="s">
        <v>63</v>
      </c>
      <c r="Q242">
        <v>0.8</v>
      </c>
      <c r="R242">
        <v>113</v>
      </c>
      <c r="S242">
        <v>0.1</v>
      </c>
    </row>
    <row r="243" spans="1:19" x14ac:dyDescent="0.4">
      <c r="A243" t="s">
        <v>67</v>
      </c>
      <c r="B243">
        <v>202110</v>
      </c>
      <c r="C243">
        <v>19700</v>
      </c>
      <c r="D243" t="s">
        <v>64</v>
      </c>
      <c r="E243" t="s">
        <v>63</v>
      </c>
      <c r="F243" t="s">
        <v>63</v>
      </c>
      <c r="G243" t="s">
        <v>63</v>
      </c>
      <c r="H243" t="s">
        <v>63</v>
      </c>
      <c r="I243">
        <v>3380</v>
      </c>
      <c r="J243" t="s">
        <v>68</v>
      </c>
      <c r="K243" t="s">
        <v>68</v>
      </c>
      <c r="L243">
        <v>0</v>
      </c>
      <c r="M243">
        <v>0</v>
      </c>
      <c r="N243">
        <v>0</v>
      </c>
      <c r="O243">
        <v>0</v>
      </c>
      <c r="P243">
        <v>3170</v>
      </c>
      <c r="Q243">
        <v>3490</v>
      </c>
      <c r="R243" t="s">
        <v>63</v>
      </c>
      <c r="S243" t="s">
        <v>63</v>
      </c>
    </row>
    <row r="244" spans="1:19" x14ac:dyDescent="0.4">
      <c r="A244" t="s">
        <v>67</v>
      </c>
      <c r="B244">
        <v>202110</v>
      </c>
      <c r="C244">
        <v>19800</v>
      </c>
      <c r="D244" t="s">
        <v>62</v>
      </c>
      <c r="E244" t="s">
        <v>63</v>
      </c>
      <c r="F244" t="s">
        <v>63</v>
      </c>
      <c r="G244" t="s">
        <v>63</v>
      </c>
      <c r="H244" t="s">
        <v>63</v>
      </c>
      <c r="I244">
        <v>0.2</v>
      </c>
      <c r="J244" t="s">
        <v>68</v>
      </c>
      <c r="K244" s="28" t="s">
        <v>68</v>
      </c>
      <c r="L244">
        <v>0</v>
      </c>
      <c r="M244">
        <v>0</v>
      </c>
      <c r="N244">
        <v>0</v>
      </c>
      <c r="O244">
        <v>82</v>
      </c>
      <c r="P244" t="s">
        <v>63</v>
      </c>
      <c r="Q244">
        <v>0.8</v>
      </c>
      <c r="R244">
        <v>32.5</v>
      </c>
      <c r="S244">
        <v>1.4</v>
      </c>
    </row>
    <row r="245" spans="1:19" x14ac:dyDescent="0.4">
      <c r="A245" t="s">
        <v>67</v>
      </c>
      <c r="B245">
        <v>202110</v>
      </c>
      <c r="C245">
        <v>19800</v>
      </c>
      <c r="D245" t="s">
        <v>64</v>
      </c>
      <c r="E245" t="s">
        <v>63</v>
      </c>
      <c r="F245" t="s">
        <v>63</v>
      </c>
      <c r="G245" t="s">
        <v>63</v>
      </c>
      <c r="H245" t="s">
        <v>63</v>
      </c>
      <c r="I245">
        <v>3480</v>
      </c>
      <c r="J245" t="s">
        <v>68</v>
      </c>
      <c r="K245" t="s">
        <v>68</v>
      </c>
      <c r="L245">
        <v>0</v>
      </c>
      <c r="M245">
        <v>0</v>
      </c>
      <c r="N245">
        <v>0</v>
      </c>
      <c r="O245">
        <v>0</v>
      </c>
      <c r="P245">
        <v>3270</v>
      </c>
      <c r="Q245">
        <v>3590</v>
      </c>
      <c r="R245" t="s">
        <v>63</v>
      </c>
      <c r="S245" t="s">
        <v>63</v>
      </c>
    </row>
    <row r="246" spans="1:19" x14ac:dyDescent="0.4">
      <c r="A246" t="s">
        <v>67</v>
      </c>
      <c r="B246">
        <v>202110</v>
      </c>
      <c r="C246">
        <v>19900</v>
      </c>
      <c r="D246" t="s">
        <v>62</v>
      </c>
      <c r="E246" t="s">
        <v>63</v>
      </c>
      <c r="F246" t="s">
        <v>63</v>
      </c>
      <c r="G246" t="s">
        <v>63</v>
      </c>
      <c r="H246" t="s">
        <v>63</v>
      </c>
      <c r="I246">
        <v>0.2</v>
      </c>
      <c r="J246" t="s">
        <v>68</v>
      </c>
      <c r="K246" s="28" t="s">
        <v>68</v>
      </c>
      <c r="L246">
        <v>0</v>
      </c>
      <c r="M246">
        <v>0</v>
      </c>
      <c r="N246">
        <v>0</v>
      </c>
      <c r="O246">
        <v>64</v>
      </c>
      <c r="P246" t="s">
        <v>63</v>
      </c>
      <c r="Q246">
        <v>0.7</v>
      </c>
      <c r="R246">
        <v>22</v>
      </c>
      <c r="S246">
        <v>2.6</v>
      </c>
    </row>
    <row r="247" spans="1:19" x14ac:dyDescent="0.4">
      <c r="A247" t="s">
        <v>67</v>
      </c>
      <c r="B247">
        <v>202110</v>
      </c>
      <c r="C247">
        <v>19900</v>
      </c>
      <c r="D247" t="s">
        <v>64</v>
      </c>
      <c r="E247" t="s">
        <v>63</v>
      </c>
      <c r="F247" t="s">
        <v>63</v>
      </c>
      <c r="G247" t="s">
        <v>63</v>
      </c>
      <c r="H247" t="s">
        <v>63</v>
      </c>
      <c r="I247">
        <v>3580</v>
      </c>
      <c r="J247" t="s">
        <v>68</v>
      </c>
      <c r="K247" t="s">
        <v>68</v>
      </c>
      <c r="L247">
        <v>0</v>
      </c>
      <c r="M247">
        <v>0</v>
      </c>
      <c r="N247">
        <v>0</v>
      </c>
      <c r="O247">
        <v>0</v>
      </c>
      <c r="P247">
        <v>3370</v>
      </c>
      <c r="Q247">
        <v>3690</v>
      </c>
      <c r="R247" t="s">
        <v>63</v>
      </c>
      <c r="S247" t="s">
        <v>63</v>
      </c>
    </row>
    <row r="248" spans="1:19" x14ac:dyDescent="0.4">
      <c r="A248" t="s">
        <v>67</v>
      </c>
      <c r="B248">
        <v>202110</v>
      </c>
      <c r="C248">
        <v>20000</v>
      </c>
      <c r="D248" t="s">
        <v>62</v>
      </c>
      <c r="E248" t="s">
        <v>63</v>
      </c>
      <c r="F248" t="s">
        <v>63</v>
      </c>
      <c r="G248" t="s">
        <v>63</v>
      </c>
      <c r="H248" t="s">
        <v>63</v>
      </c>
      <c r="I248">
        <v>0.1</v>
      </c>
      <c r="J248" t="s">
        <v>68</v>
      </c>
      <c r="K248" t="s">
        <v>68</v>
      </c>
      <c r="L248">
        <v>2</v>
      </c>
      <c r="M248">
        <v>0</v>
      </c>
      <c r="N248">
        <v>2</v>
      </c>
      <c r="O248">
        <v>405</v>
      </c>
      <c r="P248" t="s">
        <v>63</v>
      </c>
      <c r="Q248">
        <v>0.6</v>
      </c>
      <c r="R248">
        <v>165</v>
      </c>
      <c r="S248">
        <v>0.1</v>
      </c>
    </row>
    <row r="249" spans="1:19" x14ac:dyDescent="0.4">
      <c r="A249" t="s">
        <v>67</v>
      </c>
      <c r="B249">
        <v>202110</v>
      </c>
      <c r="C249">
        <v>20000</v>
      </c>
      <c r="D249" t="s">
        <v>64</v>
      </c>
      <c r="E249" t="s">
        <v>63</v>
      </c>
      <c r="F249" t="s">
        <v>63</v>
      </c>
      <c r="G249" t="s">
        <v>63</v>
      </c>
      <c r="H249" t="s">
        <v>63</v>
      </c>
      <c r="I249">
        <v>3680</v>
      </c>
      <c r="J249" t="s">
        <v>68</v>
      </c>
      <c r="K249" t="s">
        <v>68</v>
      </c>
      <c r="L249">
        <v>0</v>
      </c>
      <c r="M249">
        <v>0</v>
      </c>
      <c r="N249">
        <v>0</v>
      </c>
      <c r="O249">
        <v>0</v>
      </c>
      <c r="P249">
        <v>3470</v>
      </c>
      <c r="Q249">
        <v>3790</v>
      </c>
      <c r="R249" t="s">
        <v>63</v>
      </c>
      <c r="S249" t="s">
        <v>63</v>
      </c>
    </row>
    <row r="250" spans="1:19" x14ac:dyDescent="0.4">
      <c r="A250" t="s">
        <v>67</v>
      </c>
      <c r="B250">
        <v>202110</v>
      </c>
      <c r="C250">
        <v>20100</v>
      </c>
      <c r="D250" t="s">
        <v>62</v>
      </c>
      <c r="E250" t="s">
        <v>63</v>
      </c>
      <c r="F250" t="s">
        <v>63</v>
      </c>
      <c r="G250" t="s">
        <v>63</v>
      </c>
      <c r="H250" t="s">
        <v>63</v>
      </c>
      <c r="I250">
        <v>0.1</v>
      </c>
      <c r="J250" t="s">
        <v>68</v>
      </c>
      <c r="K250" t="s">
        <v>68</v>
      </c>
      <c r="L250">
        <v>0</v>
      </c>
      <c r="M250">
        <v>0</v>
      </c>
      <c r="N250">
        <v>0</v>
      </c>
      <c r="O250">
        <v>619</v>
      </c>
      <c r="P250" t="s">
        <v>63</v>
      </c>
      <c r="Q250">
        <v>0.6</v>
      </c>
      <c r="R250">
        <v>170</v>
      </c>
      <c r="S250">
        <v>0.1</v>
      </c>
    </row>
    <row r="251" spans="1:19" x14ac:dyDescent="0.4">
      <c r="A251" t="s">
        <v>67</v>
      </c>
      <c r="B251">
        <v>202110</v>
      </c>
      <c r="C251">
        <v>20100</v>
      </c>
      <c r="D251" t="s">
        <v>64</v>
      </c>
      <c r="E251" t="s">
        <v>63</v>
      </c>
      <c r="F251" t="s">
        <v>63</v>
      </c>
      <c r="G251" t="s">
        <v>63</v>
      </c>
      <c r="H251" t="s">
        <v>63</v>
      </c>
      <c r="I251">
        <v>3780</v>
      </c>
      <c r="J251" t="s">
        <v>68</v>
      </c>
      <c r="K251" t="s">
        <v>68</v>
      </c>
      <c r="L251">
        <v>0</v>
      </c>
      <c r="M251">
        <v>0</v>
      </c>
      <c r="N251">
        <v>0</v>
      </c>
      <c r="O251">
        <v>0</v>
      </c>
      <c r="P251">
        <v>3570</v>
      </c>
      <c r="Q251">
        <v>3890</v>
      </c>
      <c r="R251" t="s">
        <v>63</v>
      </c>
      <c r="S251" t="s">
        <v>63</v>
      </c>
    </row>
    <row r="252" spans="1:19" x14ac:dyDescent="0.4">
      <c r="A252" t="s">
        <v>67</v>
      </c>
      <c r="B252">
        <v>202110</v>
      </c>
      <c r="C252">
        <v>20200</v>
      </c>
      <c r="D252" t="s">
        <v>62</v>
      </c>
      <c r="E252" t="s">
        <v>63</v>
      </c>
      <c r="F252" t="s">
        <v>63</v>
      </c>
      <c r="G252" t="s">
        <v>63</v>
      </c>
      <c r="H252" t="s">
        <v>63</v>
      </c>
      <c r="I252">
        <v>0.1</v>
      </c>
      <c r="J252" t="s">
        <v>68</v>
      </c>
      <c r="K252" t="s">
        <v>68</v>
      </c>
      <c r="L252">
        <v>1</v>
      </c>
      <c r="M252">
        <v>0</v>
      </c>
      <c r="N252">
        <v>1</v>
      </c>
      <c r="O252">
        <v>1674</v>
      </c>
      <c r="P252" t="s">
        <v>63</v>
      </c>
      <c r="Q252">
        <v>0.5</v>
      </c>
      <c r="R252">
        <v>168</v>
      </c>
      <c r="S252">
        <v>0.2</v>
      </c>
    </row>
    <row r="253" spans="1:19" x14ac:dyDescent="0.4">
      <c r="A253" t="s">
        <v>67</v>
      </c>
      <c r="B253">
        <v>202110</v>
      </c>
      <c r="C253">
        <v>20200</v>
      </c>
      <c r="D253" t="s">
        <v>64</v>
      </c>
      <c r="E253" t="s">
        <v>63</v>
      </c>
      <c r="F253" t="s">
        <v>63</v>
      </c>
      <c r="G253" t="s">
        <v>63</v>
      </c>
      <c r="H253" t="s">
        <v>63</v>
      </c>
      <c r="I253">
        <v>3880</v>
      </c>
      <c r="J253" t="s">
        <v>68</v>
      </c>
      <c r="K253" t="s">
        <v>68</v>
      </c>
      <c r="L253">
        <v>0</v>
      </c>
      <c r="M253">
        <v>0</v>
      </c>
      <c r="N253">
        <v>0</v>
      </c>
      <c r="O253">
        <v>0</v>
      </c>
      <c r="P253">
        <v>3670</v>
      </c>
      <c r="Q253">
        <v>3990</v>
      </c>
      <c r="R253" t="s">
        <v>63</v>
      </c>
      <c r="S253" t="s">
        <v>63</v>
      </c>
    </row>
    <row r="254" spans="1:19" x14ac:dyDescent="0.4">
      <c r="A254" t="s">
        <v>67</v>
      </c>
      <c r="B254">
        <v>202110</v>
      </c>
      <c r="C254">
        <v>20300</v>
      </c>
      <c r="D254" t="s">
        <v>62</v>
      </c>
      <c r="E254">
        <v>0.3</v>
      </c>
      <c r="F254">
        <v>0.3</v>
      </c>
      <c r="G254">
        <v>0.1</v>
      </c>
      <c r="H254">
        <v>0.1</v>
      </c>
      <c r="I254">
        <v>0.1</v>
      </c>
      <c r="J254" t="s">
        <v>73</v>
      </c>
      <c r="K254" t="s">
        <v>68</v>
      </c>
      <c r="L254">
        <v>3</v>
      </c>
      <c r="M254">
        <v>4</v>
      </c>
      <c r="N254">
        <v>7</v>
      </c>
      <c r="O254">
        <v>3647</v>
      </c>
      <c r="P254">
        <v>0.1</v>
      </c>
      <c r="Q254">
        <v>0.3</v>
      </c>
      <c r="R254">
        <v>23</v>
      </c>
      <c r="S254">
        <v>0.1</v>
      </c>
    </row>
    <row r="255" spans="1:19" x14ac:dyDescent="0.4">
      <c r="A255" t="s">
        <v>67</v>
      </c>
      <c r="B255">
        <v>202110</v>
      </c>
      <c r="C255">
        <v>20300</v>
      </c>
      <c r="D255" t="s">
        <v>64</v>
      </c>
      <c r="E255" t="s">
        <v>63</v>
      </c>
      <c r="F255" t="s">
        <v>63</v>
      </c>
      <c r="G255" t="s">
        <v>63</v>
      </c>
      <c r="H255" t="s">
        <v>63</v>
      </c>
      <c r="I255">
        <v>3980</v>
      </c>
      <c r="J255" t="s">
        <v>68</v>
      </c>
      <c r="K255" t="s">
        <v>68</v>
      </c>
      <c r="L255">
        <v>0</v>
      </c>
      <c r="M255">
        <v>0</v>
      </c>
      <c r="N255">
        <v>0</v>
      </c>
      <c r="O255">
        <v>0</v>
      </c>
      <c r="P255">
        <v>3770</v>
      </c>
      <c r="Q255">
        <v>4090</v>
      </c>
      <c r="R255" t="s">
        <v>63</v>
      </c>
      <c r="S255" t="s">
        <v>63</v>
      </c>
    </row>
    <row r="256" spans="1:19" x14ac:dyDescent="0.4">
      <c r="A256" t="s">
        <v>67</v>
      </c>
      <c r="B256">
        <v>202111</v>
      </c>
      <c r="C256">
        <v>13800</v>
      </c>
      <c r="D256" t="s">
        <v>62</v>
      </c>
      <c r="E256" t="s">
        <v>63</v>
      </c>
      <c r="F256" t="s">
        <v>63</v>
      </c>
      <c r="G256" t="s">
        <v>63</v>
      </c>
      <c r="H256" t="s">
        <v>63</v>
      </c>
      <c r="I256">
        <v>2530</v>
      </c>
      <c r="J256" t="s">
        <v>68</v>
      </c>
      <c r="K256" t="s">
        <v>68</v>
      </c>
      <c r="L256">
        <v>0</v>
      </c>
      <c r="M256">
        <v>0</v>
      </c>
      <c r="N256">
        <v>0</v>
      </c>
      <c r="O256">
        <v>4</v>
      </c>
      <c r="P256">
        <v>2430</v>
      </c>
      <c r="Q256">
        <v>2720</v>
      </c>
      <c r="R256">
        <v>3500</v>
      </c>
      <c r="S256">
        <v>3100</v>
      </c>
    </row>
    <row r="257" spans="1:19" x14ac:dyDescent="0.4">
      <c r="A257" t="s">
        <v>67</v>
      </c>
      <c r="B257">
        <v>202111</v>
      </c>
      <c r="C257">
        <v>13800</v>
      </c>
      <c r="D257" t="s">
        <v>64</v>
      </c>
      <c r="E257">
        <v>36</v>
      </c>
      <c r="F257">
        <v>39.5</v>
      </c>
      <c r="G257">
        <v>33</v>
      </c>
      <c r="H257">
        <v>38</v>
      </c>
      <c r="I257">
        <v>38</v>
      </c>
      <c r="J257" t="s">
        <v>101</v>
      </c>
      <c r="K257" t="s">
        <v>279</v>
      </c>
      <c r="L257">
        <v>95</v>
      </c>
      <c r="M257">
        <v>304</v>
      </c>
      <c r="N257">
        <v>399</v>
      </c>
      <c r="O257">
        <v>1637</v>
      </c>
      <c r="P257">
        <v>38.5</v>
      </c>
      <c r="Q257">
        <v>39.5</v>
      </c>
      <c r="R257">
        <v>100</v>
      </c>
      <c r="S257">
        <v>29</v>
      </c>
    </row>
    <row r="258" spans="1:19" x14ac:dyDescent="0.4">
      <c r="A258" t="s">
        <v>67</v>
      </c>
      <c r="B258">
        <v>202111</v>
      </c>
      <c r="C258">
        <v>13900</v>
      </c>
      <c r="D258" t="s">
        <v>62</v>
      </c>
      <c r="E258" t="s">
        <v>63</v>
      </c>
      <c r="F258" t="s">
        <v>63</v>
      </c>
      <c r="G258" t="s">
        <v>63</v>
      </c>
      <c r="H258" t="s">
        <v>63</v>
      </c>
      <c r="I258">
        <v>2440</v>
      </c>
      <c r="J258" t="s">
        <v>68</v>
      </c>
      <c r="K258" t="s">
        <v>68</v>
      </c>
      <c r="L258">
        <v>0</v>
      </c>
      <c r="M258">
        <v>0</v>
      </c>
      <c r="N258">
        <v>0</v>
      </c>
      <c r="O258">
        <v>0</v>
      </c>
      <c r="P258">
        <v>2350</v>
      </c>
      <c r="Q258">
        <v>2640</v>
      </c>
      <c r="R258" t="s">
        <v>63</v>
      </c>
      <c r="S258" t="s">
        <v>63</v>
      </c>
    </row>
    <row r="259" spans="1:19" x14ac:dyDescent="0.4">
      <c r="A259" t="s">
        <v>67</v>
      </c>
      <c r="B259">
        <v>202111</v>
      </c>
      <c r="C259">
        <v>13900</v>
      </c>
      <c r="D259" t="s">
        <v>64</v>
      </c>
      <c r="E259">
        <v>39.5</v>
      </c>
      <c r="F259">
        <v>43.5</v>
      </c>
      <c r="G259">
        <v>38</v>
      </c>
      <c r="H259">
        <v>42</v>
      </c>
      <c r="I259">
        <v>42</v>
      </c>
      <c r="J259" t="s">
        <v>130</v>
      </c>
      <c r="K259" t="s">
        <v>627</v>
      </c>
      <c r="L259">
        <v>79</v>
      </c>
      <c r="M259">
        <v>33</v>
      </c>
      <c r="N259">
        <v>112</v>
      </c>
      <c r="O259">
        <v>288</v>
      </c>
      <c r="P259">
        <v>35</v>
      </c>
      <c r="Q259">
        <v>43.5</v>
      </c>
      <c r="R259">
        <v>188</v>
      </c>
      <c r="S259">
        <v>36</v>
      </c>
    </row>
    <row r="260" spans="1:19" x14ac:dyDescent="0.4">
      <c r="A260" t="s">
        <v>67</v>
      </c>
      <c r="B260">
        <v>202111</v>
      </c>
      <c r="C260">
        <v>14000</v>
      </c>
      <c r="D260" t="s">
        <v>62</v>
      </c>
      <c r="E260" t="s">
        <v>63</v>
      </c>
      <c r="F260" t="s">
        <v>63</v>
      </c>
      <c r="G260" t="s">
        <v>63</v>
      </c>
      <c r="H260" t="s">
        <v>63</v>
      </c>
      <c r="I260">
        <v>2340</v>
      </c>
      <c r="J260" t="s">
        <v>68</v>
      </c>
      <c r="K260" t="s">
        <v>68</v>
      </c>
      <c r="L260">
        <v>0</v>
      </c>
      <c r="M260">
        <v>0</v>
      </c>
      <c r="N260">
        <v>0</v>
      </c>
      <c r="O260">
        <v>0</v>
      </c>
      <c r="P260">
        <v>2240</v>
      </c>
      <c r="Q260">
        <v>2530</v>
      </c>
      <c r="R260" t="s">
        <v>63</v>
      </c>
      <c r="S260" t="s">
        <v>63</v>
      </c>
    </row>
    <row r="261" spans="1:19" x14ac:dyDescent="0.4">
      <c r="A261" t="s">
        <v>67</v>
      </c>
      <c r="B261">
        <v>202111</v>
      </c>
      <c r="C261">
        <v>14000</v>
      </c>
      <c r="D261" t="s">
        <v>64</v>
      </c>
      <c r="E261">
        <v>43</v>
      </c>
      <c r="F261">
        <v>48</v>
      </c>
      <c r="G261">
        <v>40.5</v>
      </c>
      <c r="H261">
        <v>44</v>
      </c>
      <c r="I261">
        <v>44</v>
      </c>
      <c r="J261" t="s">
        <v>133</v>
      </c>
      <c r="K261" t="s">
        <v>714</v>
      </c>
      <c r="L261">
        <v>11</v>
      </c>
      <c r="M261">
        <v>230</v>
      </c>
      <c r="N261">
        <v>241</v>
      </c>
      <c r="O261">
        <v>695</v>
      </c>
      <c r="P261">
        <v>42</v>
      </c>
      <c r="Q261">
        <v>48.5</v>
      </c>
      <c r="R261">
        <v>147</v>
      </c>
      <c r="S261">
        <v>35.5</v>
      </c>
    </row>
    <row r="262" spans="1:19" x14ac:dyDescent="0.4">
      <c r="A262" t="s">
        <v>67</v>
      </c>
      <c r="B262">
        <v>202111</v>
      </c>
      <c r="C262">
        <v>14100</v>
      </c>
      <c r="D262" t="s">
        <v>62</v>
      </c>
      <c r="E262" t="s">
        <v>63</v>
      </c>
      <c r="F262" t="s">
        <v>63</v>
      </c>
      <c r="G262" t="s">
        <v>63</v>
      </c>
      <c r="H262" t="s">
        <v>63</v>
      </c>
      <c r="I262">
        <v>2240</v>
      </c>
      <c r="J262" t="s">
        <v>68</v>
      </c>
      <c r="K262" t="s">
        <v>68</v>
      </c>
      <c r="L262">
        <v>0</v>
      </c>
      <c r="M262">
        <v>0</v>
      </c>
      <c r="N262">
        <v>0</v>
      </c>
      <c r="O262">
        <v>0</v>
      </c>
      <c r="P262">
        <v>2160</v>
      </c>
      <c r="Q262">
        <v>2450</v>
      </c>
      <c r="R262" t="s">
        <v>63</v>
      </c>
      <c r="S262" t="s">
        <v>63</v>
      </c>
    </row>
    <row r="263" spans="1:19" x14ac:dyDescent="0.4">
      <c r="A263" t="s">
        <v>67</v>
      </c>
      <c r="B263">
        <v>202111</v>
      </c>
      <c r="C263">
        <v>14100</v>
      </c>
      <c r="D263" t="s">
        <v>64</v>
      </c>
      <c r="E263">
        <v>47</v>
      </c>
      <c r="F263">
        <v>51</v>
      </c>
      <c r="G263">
        <v>47</v>
      </c>
      <c r="H263">
        <v>51</v>
      </c>
      <c r="I263">
        <v>51</v>
      </c>
      <c r="J263" t="s">
        <v>92</v>
      </c>
      <c r="K263" t="s">
        <v>715</v>
      </c>
      <c r="L263">
        <v>1</v>
      </c>
      <c r="M263">
        <v>20</v>
      </c>
      <c r="N263">
        <v>21</v>
      </c>
      <c r="O263">
        <v>86</v>
      </c>
      <c r="P263">
        <v>49</v>
      </c>
      <c r="Q263">
        <v>52</v>
      </c>
      <c r="R263">
        <v>98</v>
      </c>
      <c r="S263">
        <v>41.5</v>
      </c>
    </row>
    <row r="264" spans="1:19" x14ac:dyDescent="0.4">
      <c r="A264" t="s">
        <v>67</v>
      </c>
      <c r="B264">
        <v>202111</v>
      </c>
      <c r="C264">
        <v>14200</v>
      </c>
      <c r="D264" t="s">
        <v>62</v>
      </c>
      <c r="E264" t="s">
        <v>63</v>
      </c>
      <c r="F264" t="s">
        <v>63</v>
      </c>
      <c r="G264" t="s">
        <v>63</v>
      </c>
      <c r="H264" t="s">
        <v>63</v>
      </c>
      <c r="I264">
        <v>2150</v>
      </c>
      <c r="J264" t="s">
        <v>68</v>
      </c>
      <c r="K264" t="s">
        <v>68</v>
      </c>
      <c r="L264">
        <v>0</v>
      </c>
      <c r="M264">
        <v>0</v>
      </c>
      <c r="N264">
        <v>0</v>
      </c>
      <c r="O264">
        <v>0</v>
      </c>
      <c r="P264">
        <v>2050</v>
      </c>
      <c r="Q264">
        <v>2340</v>
      </c>
      <c r="R264" t="s">
        <v>63</v>
      </c>
      <c r="S264" t="s">
        <v>63</v>
      </c>
    </row>
    <row r="265" spans="1:19" x14ac:dyDescent="0.4">
      <c r="A265" t="s">
        <v>67</v>
      </c>
      <c r="B265">
        <v>202111</v>
      </c>
      <c r="C265">
        <v>14200</v>
      </c>
      <c r="D265" t="s">
        <v>64</v>
      </c>
      <c r="E265">
        <v>50</v>
      </c>
      <c r="F265">
        <v>59</v>
      </c>
      <c r="G265">
        <v>50</v>
      </c>
      <c r="H265">
        <v>55</v>
      </c>
      <c r="I265">
        <v>55</v>
      </c>
      <c r="J265" t="s">
        <v>140</v>
      </c>
      <c r="K265" t="s">
        <v>716</v>
      </c>
      <c r="L265">
        <v>42</v>
      </c>
      <c r="M265">
        <v>30</v>
      </c>
      <c r="N265">
        <v>72</v>
      </c>
      <c r="O265">
        <v>138</v>
      </c>
      <c r="P265">
        <v>53</v>
      </c>
      <c r="Q265">
        <v>58</v>
      </c>
      <c r="R265">
        <v>115</v>
      </c>
      <c r="S265">
        <v>35.5</v>
      </c>
    </row>
    <row r="266" spans="1:19" x14ac:dyDescent="0.4">
      <c r="A266" t="s">
        <v>67</v>
      </c>
      <c r="B266">
        <v>202111</v>
      </c>
      <c r="C266">
        <v>14300</v>
      </c>
      <c r="D266" t="s">
        <v>62</v>
      </c>
      <c r="E266" t="s">
        <v>63</v>
      </c>
      <c r="F266" t="s">
        <v>63</v>
      </c>
      <c r="G266" t="s">
        <v>63</v>
      </c>
      <c r="H266" t="s">
        <v>63</v>
      </c>
      <c r="I266">
        <v>2060</v>
      </c>
      <c r="J266" t="s">
        <v>68</v>
      </c>
      <c r="K266" t="s">
        <v>68</v>
      </c>
      <c r="L266">
        <v>0</v>
      </c>
      <c r="M266">
        <v>0</v>
      </c>
      <c r="N266">
        <v>0</v>
      </c>
      <c r="O266">
        <v>0</v>
      </c>
      <c r="P266">
        <v>1970</v>
      </c>
      <c r="Q266">
        <v>2260</v>
      </c>
      <c r="R266" t="s">
        <v>63</v>
      </c>
      <c r="S266" t="s">
        <v>63</v>
      </c>
    </row>
    <row r="267" spans="1:19" x14ac:dyDescent="0.4">
      <c r="A267" t="s">
        <v>67</v>
      </c>
      <c r="B267">
        <v>202111</v>
      </c>
      <c r="C267">
        <v>14300</v>
      </c>
      <c r="D267" t="s">
        <v>64</v>
      </c>
      <c r="E267">
        <v>63</v>
      </c>
      <c r="F267">
        <v>63</v>
      </c>
      <c r="G267">
        <v>57</v>
      </c>
      <c r="H267">
        <v>57</v>
      </c>
      <c r="I267">
        <v>63</v>
      </c>
      <c r="J267" t="s">
        <v>115</v>
      </c>
      <c r="K267" t="s">
        <v>717</v>
      </c>
      <c r="L267">
        <v>0</v>
      </c>
      <c r="M267">
        <v>3</v>
      </c>
      <c r="N267">
        <v>3</v>
      </c>
      <c r="O267">
        <v>40</v>
      </c>
      <c r="P267">
        <v>58</v>
      </c>
      <c r="Q267">
        <v>72</v>
      </c>
      <c r="R267">
        <v>252</v>
      </c>
      <c r="S267">
        <v>48</v>
      </c>
    </row>
    <row r="268" spans="1:19" x14ac:dyDescent="0.4">
      <c r="A268" t="s">
        <v>67</v>
      </c>
      <c r="B268">
        <v>202111</v>
      </c>
      <c r="C268">
        <v>14400</v>
      </c>
      <c r="D268" t="s">
        <v>62</v>
      </c>
      <c r="E268">
        <v>2160</v>
      </c>
      <c r="F268">
        <v>2160</v>
      </c>
      <c r="G268">
        <v>2000</v>
      </c>
      <c r="H268">
        <v>2000</v>
      </c>
      <c r="I268">
        <v>1970</v>
      </c>
      <c r="J268" t="s">
        <v>718</v>
      </c>
      <c r="K268" t="s">
        <v>719</v>
      </c>
      <c r="L268">
        <v>0</v>
      </c>
      <c r="M268">
        <v>120</v>
      </c>
      <c r="N268">
        <v>120</v>
      </c>
      <c r="O268">
        <v>120</v>
      </c>
      <c r="P268">
        <v>1860</v>
      </c>
      <c r="Q268">
        <v>2180</v>
      </c>
      <c r="R268">
        <v>2160</v>
      </c>
      <c r="S268">
        <v>2000</v>
      </c>
    </row>
    <row r="269" spans="1:19" x14ac:dyDescent="0.4">
      <c r="A269" t="s">
        <v>67</v>
      </c>
      <c r="B269">
        <v>202111</v>
      </c>
      <c r="C269">
        <v>14400</v>
      </c>
      <c r="D269" t="s">
        <v>64</v>
      </c>
      <c r="E269">
        <v>68</v>
      </c>
      <c r="F269">
        <v>72</v>
      </c>
      <c r="G269">
        <v>65</v>
      </c>
      <c r="H269">
        <v>72</v>
      </c>
      <c r="I269">
        <v>72</v>
      </c>
      <c r="J269" t="s">
        <v>90</v>
      </c>
      <c r="K269" t="s">
        <v>720</v>
      </c>
      <c r="L269">
        <v>2</v>
      </c>
      <c r="M269">
        <v>62</v>
      </c>
      <c r="N269">
        <v>64</v>
      </c>
      <c r="O269">
        <v>165</v>
      </c>
      <c r="P269">
        <v>65</v>
      </c>
      <c r="Q269">
        <v>72</v>
      </c>
      <c r="R269">
        <v>156</v>
      </c>
      <c r="S269">
        <v>52</v>
      </c>
    </row>
    <row r="270" spans="1:19" x14ac:dyDescent="0.4">
      <c r="A270" t="s">
        <v>67</v>
      </c>
      <c r="B270">
        <v>202111</v>
      </c>
      <c r="C270">
        <v>14500</v>
      </c>
      <c r="D270" t="s">
        <v>62</v>
      </c>
      <c r="E270" t="s">
        <v>63</v>
      </c>
      <c r="F270" t="s">
        <v>63</v>
      </c>
      <c r="G270" t="s">
        <v>63</v>
      </c>
      <c r="H270" t="s">
        <v>63</v>
      </c>
      <c r="I270">
        <v>1870</v>
      </c>
      <c r="J270" t="s">
        <v>68</v>
      </c>
      <c r="K270" t="s">
        <v>68</v>
      </c>
      <c r="L270">
        <v>0</v>
      </c>
      <c r="M270">
        <v>0</v>
      </c>
      <c r="N270">
        <v>0</v>
      </c>
      <c r="O270">
        <v>0</v>
      </c>
      <c r="P270">
        <v>1780</v>
      </c>
      <c r="Q270">
        <v>2080</v>
      </c>
      <c r="R270" t="s">
        <v>63</v>
      </c>
      <c r="S270" t="s">
        <v>63</v>
      </c>
    </row>
    <row r="271" spans="1:19" x14ac:dyDescent="0.4">
      <c r="A271" t="s">
        <v>67</v>
      </c>
      <c r="B271">
        <v>202111</v>
      </c>
      <c r="C271">
        <v>14500</v>
      </c>
      <c r="D271" t="s">
        <v>64</v>
      </c>
      <c r="E271">
        <v>70</v>
      </c>
      <c r="F271">
        <v>81</v>
      </c>
      <c r="G271">
        <v>66</v>
      </c>
      <c r="H271">
        <v>78</v>
      </c>
      <c r="I271">
        <v>78</v>
      </c>
      <c r="J271" t="s">
        <v>92</v>
      </c>
      <c r="K271" t="s">
        <v>721</v>
      </c>
      <c r="L271">
        <v>11</v>
      </c>
      <c r="M271">
        <v>328</v>
      </c>
      <c r="N271">
        <v>339</v>
      </c>
      <c r="O271">
        <v>448</v>
      </c>
      <c r="P271">
        <v>66</v>
      </c>
      <c r="Q271">
        <v>81</v>
      </c>
      <c r="R271">
        <v>158</v>
      </c>
      <c r="S271">
        <v>49</v>
      </c>
    </row>
    <row r="272" spans="1:19" x14ac:dyDescent="0.4">
      <c r="A272" t="s">
        <v>67</v>
      </c>
      <c r="B272">
        <v>202111</v>
      </c>
      <c r="C272">
        <v>14600</v>
      </c>
      <c r="D272" t="s">
        <v>62</v>
      </c>
      <c r="E272" t="s">
        <v>63</v>
      </c>
      <c r="F272" t="s">
        <v>63</v>
      </c>
      <c r="G272" t="s">
        <v>63</v>
      </c>
      <c r="H272" t="s">
        <v>63</v>
      </c>
      <c r="I272">
        <v>1780</v>
      </c>
      <c r="J272" t="s">
        <v>68</v>
      </c>
      <c r="K272" t="s">
        <v>68</v>
      </c>
      <c r="L272">
        <v>0</v>
      </c>
      <c r="M272">
        <v>0</v>
      </c>
      <c r="N272">
        <v>0</v>
      </c>
      <c r="O272">
        <v>0</v>
      </c>
      <c r="P272">
        <v>1680</v>
      </c>
      <c r="Q272">
        <v>1990</v>
      </c>
      <c r="R272" t="s">
        <v>63</v>
      </c>
      <c r="S272" t="s">
        <v>63</v>
      </c>
    </row>
    <row r="273" spans="1:19" x14ac:dyDescent="0.4">
      <c r="A273" t="s">
        <v>67</v>
      </c>
      <c r="B273">
        <v>202111</v>
      </c>
      <c r="C273">
        <v>14600</v>
      </c>
      <c r="D273" t="s">
        <v>64</v>
      </c>
      <c r="E273">
        <v>79</v>
      </c>
      <c r="F273">
        <v>89</v>
      </c>
      <c r="G273">
        <v>77</v>
      </c>
      <c r="H273">
        <v>85</v>
      </c>
      <c r="I273">
        <v>85</v>
      </c>
      <c r="J273" t="s">
        <v>87</v>
      </c>
      <c r="K273" t="s">
        <v>722</v>
      </c>
      <c r="L273">
        <v>3</v>
      </c>
      <c r="M273">
        <v>130</v>
      </c>
      <c r="N273">
        <v>133</v>
      </c>
      <c r="O273">
        <v>302</v>
      </c>
      <c r="P273">
        <v>76</v>
      </c>
      <c r="Q273">
        <v>89</v>
      </c>
      <c r="R273">
        <v>177</v>
      </c>
      <c r="S273">
        <v>51</v>
      </c>
    </row>
    <row r="274" spans="1:19" x14ac:dyDescent="0.4">
      <c r="A274" t="s">
        <v>67</v>
      </c>
      <c r="B274">
        <v>202111</v>
      </c>
      <c r="C274">
        <v>14700</v>
      </c>
      <c r="D274" t="s">
        <v>62</v>
      </c>
      <c r="E274" t="s">
        <v>63</v>
      </c>
      <c r="F274" t="s">
        <v>63</v>
      </c>
      <c r="G274" t="s">
        <v>63</v>
      </c>
      <c r="H274" t="s">
        <v>63</v>
      </c>
      <c r="I274">
        <v>1690</v>
      </c>
      <c r="J274" t="s">
        <v>68</v>
      </c>
      <c r="K274" t="s">
        <v>68</v>
      </c>
      <c r="L274">
        <v>0</v>
      </c>
      <c r="M274">
        <v>0</v>
      </c>
      <c r="N274">
        <v>0</v>
      </c>
      <c r="O274">
        <v>0</v>
      </c>
      <c r="P274">
        <v>1580</v>
      </c>
      <c r="Q274">
        <v>1900</v>
      </c>
      <c r="R274" t="s">
        <v>63</v>
      </c>
      <c r="S274" t="s">
        <v>63</v>
      </c>
    </row>
    <row r="275" spans="1:19" x14ac:dyDescent="0.4">
      <c r="A275" t="s">
        <v>67</v>
      </c>
      <c r="B275">
        <v>202111</v>
      </c>
      <c r="C275">
        <v>14700</v>
      </c>
      <c r="D275" t="s">
        <v>64</v>
      </c>
      <c r="E275">
        <v>89</v>
      </c>
      <c r="F275">
        <v>101</v>
      </c>
      <c r="G275">
        <v>86</v>
      </c>
      <c r="H275">
        <v>99</v>
      </c>
      <c r="I275">
        <v>99</v>
      </c>
      <c r="J275" t="s">
        <v>77</v>
      </c>
      <c r="K275" t="s">
        <v>723</v>
      </c>
      <c r="L275">
        <v>10</v>
      </c>
      <c r="M275">
        <v>45</v>
      </c>
      <c r="N275">
        <v>55</v>
      </c>
      <c r="O275">
        <v>136</v>
      </c>
      <c r="P275">
        <v>95</v>
      </c>
      <c r="Q275">
        <v>99</v>
      </c>
      <c r="R275">
        <v>161</v>
      </c>
      <c r="S275">
        <v>64</v>
      </c>
    </row>
    <row r="276" spans="1:19" x14ac:dyDescent="0.4">
      <c r="A276" t="s">
        <v>67</v>
      </c>
      <c r="B276">
        <v>202111</v>
      </c>
      <c r="C276">
        <v>14800</v>
      </c>
      <c r="D276" t="s">
        <v>62</v>
      </c>
      <c r="E276" t="s">
        <v>63</v>
      </c>
      <c r="F276" t="s">
        <v>63</v>
      </c>
      <c r="G276" t="s">
        <v>63</v>
      </c>
      <c r="H276" t="s">
        <v>63</v>
      </c>
      <c r="I276">
        <v>1600</v>
      </c>
      <c r="J276" t="s">
        <v>68</v>
      </c>
      <c r="K276" t="s">
        <v>68</v>
      </c>
      <c r="L276">
        <v>0</v>
      </c>
      <c r="M276">
        <v>0</v>
      </c>
      <c r="N276">
        <v>0</v>
      </c>
      <c r="O276">
        <v>1</v>
      </c>
      <c r="P276">
        <v>1490</v>
      </c>
      <c r="Q276">
        <v>1810</v>
      </c>
      <c r="R276">
        <v>1770</v>
      </c>
      <c r="S276">
        <v>1770</v>
      </c>
    </row>
    <row r="277" spans="1:19" x14ac:dyDescent="0.4">
      <c r="A277" t="s">
        <v>67</v>
      </c>
      <c r="B277">
        <v>202111</v>
      </c>
      <c r="C277">
        <v>14800</v>
      </c>
      <c r="D277" t="s">
        <v>64</v>
      </c>
      <c r="E277">
        <v>96</v>
      </c>
      <c r="F277">
        <v>113</v>
      </c>
      <c r="G277">
        <v>92</v>
      </c>
      <c r="H277">
        <v>108</v>
      </c>
      <c r="I277">
        <v>108</v>
      </c>
      <c r="J277" t="s">
        <v>90</v>
      </c>
      <c r="K277" t="s">
        <v>724</v>
      </c>
      <c r="L277">
        <v>9</v>
      </c>
      <c r="M277">
        <v>93</v>
      </c>
      <c r="N277">
        <v>102</v>
      </c>
      <c r="O277">
        <v>208</v>
      </c>
      <c r="P277">
        <v>105</v>
      </c>
      <c r="Q277">
        <v>110</v>
      </c>
      <c r="R277">
        <v>184</v>
      </c>
      <c r="S277">
        <v>60</v>
      </c>
    </row>
    <row r="278" spans="1:19" x14ac:dyDescent="0.4">
      <c r="A278" t="s">
        <v>67</v>
      </c>
      <c r="B278">
        <v>202111</v>
      </c>
      <c r="C278">
        <v>14900</v>
      </c>
      <c r="D278" t="s">
        <v>62</v>
      </c>
      <c r="E278" t="s">
        <v>63</v>
      </c>
      <c r="F278" t="s">
        <v>63</v>
      </c>
      <c r="G278" t="s">
        <v>63</v>
      </c>
      <c r="H278" t="s">
        <v>63</v>
      </c>
      <c r="I278">
        <v>1510</v>
      </c>
      <c r="J278" t="s">
        <v>68</v>
      </c>
      <c r="K278" t="s">
        <v>68</v>
      </c>
      <c r="L278">
        <v>0</v>
      </c>
      <c r="M278">
        <v>0</v>
      </c>
      <c r="N278">
        <v>0</v>
      </c>
      <c r="O278">
        <v>0</v>
      </c>
      <c r="P278">
        <v>1400</v>
      </c>
      <c r="Q278">
        <v>1720</v>
      </c>
      <c r="R278" t="s">
        <v>63</v>
      </c>
      <c r="S278" t="s">
        <v>63</v>
      </c>
    </row>
    <row r="279" spans="1:19" x14ac:dyDescent="0.4">
      <c r="A279" t="s">
        <v>67</v>
      </c>
      <c r="B279">
        <v>202111</v>
      </c>
      <c r="C279">
        <v>14900</v>
      </c>
      <c r="D279" t="s">
        <v>64</v>
      </c>
      <c r="E279">
        <v>105</v>
      </c>
      <c r="F279">
        <v>122</v>
      </c>
      <c r="G279">
        <v>105</v>
      </c>
      <c r="H279">
        <v>118</v>
      </c>
      <c r="I279">
        <v>118</v>
      </c>
      <c r="J279" t="s">
        <v>92</v>
      </c>
      <c r="K279" s="28" t="s">
        <v>725</v>
      </c>
      <c r="L279">
        <v>12</v>
      </c>
      <c r="M279">
        <v>36</v>
      </c>
      <c r="N279">
        <v>48</v>
      </c>
      <c r="O279">
        <v>165</v>
      </c>
      <c r="P279">
        <v>118</v>
      </c>
      <c r="Q279">
        <v>122</v>
      </c>
      <c r="R279">
        <v>202</v>
      </c>
      <c r="S279">
        <v>66</v>
      </c>
    </row>
    <row r="280" spans="1:19" x14ac:dyDescent="0.4">
      <c r="A280" t="s">
        <v>67</v>
      </c>
      <c r="B280">
        <v>202111</v>
      </c>
      <c r="C280">
        <v>15000</v>
      </c>
      <c r="D280" t="s">
        <v>62</v>
      </c>
      <c r="E280" t="s">
        <v>63</v>
      </c>
      <c r="F280" t="s">
        <v>63</v>
      </c>
      <c r="G280" t="s">
        <v>63</v>
      </c>
      <c r="H280" t="s">
        <v>63</v>
      </c>
      <c r="I280">
        <v>1430</v>
      </c>
      <c r="J280" t="s">
        <v>68</v>
      </c>
      <c r="K280" t="s">
        <v>68</v>
      </c>
      <c r="L280">
        <v>0</v>
      </c>
      <c r="M280">
        <v>0</v>
      </c>
      <c r="N280">
        <v>0</v>
      </c>
      <c r="O280">
        <v>0</v>
      </c>
      <c r="P280">
        <v>1320</v>
      </c>
      <c r="Q280">
        <v>1630</v>
      </c>
      <c r="R280" t="s">
        <v>63</v>
      </c>
      <c r="S280" t="s">
        <v>63</v>
      </c>
    </row>
    <row r="281" spans="1:19" x14ac:dyDescent="0.4">
      <c r="A281" t="s">
        <v>67</v>
      </c>
      <c r="B281">
        <v>202111</v>
      </c>
      <c r="C281">
        <v>15000</v>
      </c>
      <c r="D281" t="s">
        <v>64</v>
      </c>
      <c r="E281">
        <v>142</v>
      </c>
      <c r="F281">
        <v>142</v>
      </c>
      <c r="G281">
        <v>107</v>
      </c>
      <c r="H281">
        <v>133</v>
      </c>
      <c r="I281">
        <v>133</v>
      </c>
      <c r="J281" t="s">
        <v>139</v>
      </c>
      <c r="K281" t="s">
        <v>726</v>
      </c>
      <c r="L281">
        <v>33</v>
      </c>
      <c r="M281">
        <v>270</v>
      </c>
      <c r="N281">
        <v>303</v>
      </c>
      <c r="O281">
        <v>475</v>
      </c>
      <c r="P281">
        <v>126</v>
      </c>
      <c r="Q281">
        <v>135</v>
      </c>
      <c r="R281">
        <v>240</v>
      </c>
      <c r="S281">
        <v>68</v>
      </c>
    </row>
    <row r="282" spans="1:19" x14ac:dyDescent="0.4">
      <c r="A282" t="s">
        <v>67</v>
      </c>
      <c r="B282">
        <v>202111</v>
      </c>
      <c r="C282">
        <v>15100</v>
      </c>
      <c r="D282" t="s">
        <v>62</v>
      </c>
      <c r="E282" t="s">
        <v>63</v>
      </c>
      <c r="F282" t="s">
        <v>63</v>
      </c>
      <c r="G282" t="s">
        <v>63</v>
      </c>
      <c r="H282" t="s">
        <v>63</v>
      </c>
      <c r="I282">
        <v>1340</v>
      </c>
      <c r="J282" t="s">
        <v>68</v>
      </c>
      <c r="K282" t="s">
        <v>68</v>
      </c>
      <c r="L282">
        <v>0</v>
      </c>
      <c r="M282">
        <v>0</v>
      </c>
      <c r="N282">
        <v>0</v>
      </c>
      <c r="O282">
        <v>0</v>
      </c>
      <c r="P282">
        <v>1230</v>
      </c>
      <c r="Q282">
        <v>1520</v>
      </c>
      <c r="R282" t="s">
        <v>63</v>
      </c>
      <c r="S282" t="s">
        <v>63</v>
      </c>
    </row>
    <row r="283" spans="1:19" x14ac:dyDescent="0.4">
      <c r="A283" t="s">
        <v>67</v>
      </c>
      <c r="B283">
        <v>202111</v>
      </c>
      <c r="C283">
        <v>15100</v>
      </c>
      <c r="D283" t="s">
        <v>64</v>
      </c>
      <c r="E283">
        <v>123</v>
      </c>
      <c r="F283">
        <v>145</v>
      </c>
      <c r="G283">
        <v>123</v>
      </c>
      <c r="H283">
        <v>145</v>
      </c>
      <c r="I283">
        <v>145</v>
      </c>
      <c r="J283" t="s">
        <v>139</v>
      </c>
      <c r="K283" t="s">
        <v>727</v>
      </c>
      <c r="L283">
        <v>2</v>
      </c>
      <c r="M283">
        <v>49</v>
      </c>
      <c r="N283">
        <v>51</v>
      </c>
      <c r="O283">
        <v>221</v>
      </c>
      <c r="P283">
        <v>144</v>
      </c>
      <c r="Q283">
        <v>150</v>
      </c>
      <c r="R283">
        <v>245</v>
      </c>
      <c r="S283">
        <v>85</v>
      </c>
    </row>
    <row r="284" spans="1:19" x14ac:dyDescent="0.4">
      <c r="A284" t="s">
        <v>67</v>
      </c>
      <c r="B284">
        <v>202111</v>
      </c>
      <c r="C284">
        <v>15200</v>
      </c>
      <c r="D284" t="s">
        <v>62</v>
      </c>
      <c r="E284">
        <v>1260</v>
      </c>
      <c r="F284">
        <v>1300</v>
      </c>
      <c r="G284">
        <v>1260</v>
      </c>
      <c r="H284">
        <v>1300</v>
      </c>
      <c r="I284">
        <v>1260</v>
      </c>
      <c r="J284" t="s">
        <v>216</v>
      </c>
      <c r="K284" t="s">
        <v>295</v>
      </c>
      <c r="L284">
        <v>0</v>
      </c>
      <c r="M284">
        <v>24</v>
      </c>
      <c r="N284">
        <v>24</v>
      </c>
      <c r="O284">
        <v>25</v>
      </c>
      <c r="P284">
        <v>1130</v>
      </c>
      <c r="Q284">
        <v>1450</v>
      </c>
      <c r="R284">
        <v>1530</v>
      </c>
      <c r="S284">
        <v>1260</v>
      </c>
    </row>
    <row r="285" spans="1:19" x14ac:dyDescent="0.4">
      <c r="A285" t="s">
        <v>67</v>
      </c>
      <c r="B285">
        <v>202111</v>
      </c>
      <c r="C285">
        <v>15200</v>
      </c>
      <c r="D285" t="s">
        <v>64</v>
      </c>
      <c r="E285">
        <v>131</v>
      </c>
      <c r="F285">
        <v>164</v>
      </c>
      <c r="G285">
        <v>130</v>
      </c>
      <c r="H285">
        <v>164</v>
      </c>
      <c r="I285">
        <v>164</v>
      </c>
      <c r="J285" t="s">
        <v>95</v>
      </c>
      <c r="K285" t="s">
        <v>728</v>
      </c>
      <c r="L285">
        <v>14</v>
      </c>
      <c r="M285">
        <v>198</v>
      </c>
      <c r="N285">
        <v>212</v>
      </c>
      <c r="O285">
        <v>360</v>
      </c>
      <c r="P285">
        <v>155</v>
      </c>
      <c r="Q285">
        <v>170</v>
      </c>
      <c r="R285">
        <v>340</v>
      </c>
      <c r="S285">
        <v>50</v>
      </c>
    </row>
    <row r="286" spans="1:19" x14ac:dyDescent="0.4">
      <c r="A286" t="s">
        <v>67</v>
      </c>
      <c r="B286">
        <v>202111</v>
      </c>
      <c r="C286">
        <v>15300</v>
      </c>
      <c r="D286" t="s">
        <v>62</v>
      </c>
      <c r="E286" t="s">
        <v>63</v>
      </c>
      <c r="F286" t="s">
        <v>63</v>
      </c>
      <c r="G286" t="s">
        <v>63</v>
      </c>
      <c r="H286" t="s">
        <v>63</v>
      </c>
      <c r="I286">
        <v>1180</v>
      </c>
      <c r="J286" t="s">
        <v>68</v>
      </c>
      <c r="K286" t="s">
        <v>68</v>
      </c>
      <c r="L286">
        <v>0</v>
      </c>
      <c r="M286">
        <v>0</v>
      </c>
      <c r="N286">
        <v>0</v>
      </c>
      <c r="O286">
        <v>1</v>
      </c>
      <c r="P286">
        <v>1050</v>
      </c>
      <c r="Q286">
        <v>1310</v>
      </c>
      <c r="R286">
        <v>1260</v>
      </c>
      <c r="S286">
        <v>1260</v>
      </c>
    </row>
    <row r="287" spans="1:19" x14ac:dyDescent="0.4">
      <c r="A287" t="s">
        <v>67</v>
      </c>
      <c r="B287">
        <v>202111</v>
      </c>
      <c r="C287">
        <v>15300</v>
      </c>
      <c r="D287" t="s">
        <v>64</v>
      </c>
      <c r="E287">
        <v>142</v>
      </c>
      <c r="F287">
        <v>181</v>
      </c>
      <c r="G287">
        <v>142</v>
      </c>
      <c r="H287">
        <v>181</v>
      </c>
      <c r="I287">
        <v>181</v>
      </c>
      <c r="J287" t="s">
        <v>77</v>
      </c>
      <c r="K287" t="s">
        <v>729</v>
      </c>
      <c r="L287">
        <v>3</v>
      </c>
      <c r="M287">
        <v>65</v>
      </c>
      <c r="N287">
        <v>68</v>
      </c>
      <c r="O287">
        <v>295</v>
      </c>
      <c r="P287">
        <v>172</v>
      </c>
      <c r="Q287">
        <v>180</v>
      </c>
      <c r="R287">
        <v>330</v>
      </c>
      <c r="S287">
        <v>50</v>
      </c>
    </row>
    <row r="288" spans="1:19" x14ac:dyDescent="0.4">
      <c r="A288" t="s">
        <v>67</v>
      </c>
      <c r="B288">
        <v>202111</v>
      </c>
      <c r="C288">
        <v>15400</v>
      </c>
      <c r="D288" t="s">
        <v>62</v>
      </c>
      <c r="E288" t="s">
        <v>63</v>
      </c>
      <c r="F288" t="s">
        <v>63</v>
      </c>
      <c r="G288" t="s">
        <v>63</v>
      </c>
      <c r="H288" t="s">
        <v>63</v>
      </c>
      <c r="I288">
        <v>1090</v>
      </c>
      <c r="J288" t="s">
        <v>68</v>
      </c>
      <c r="K288" t="s">
        <v>68</v>
      </c>
      <c r="L288">
        <v>0</v>
      </c>
      <c r="M288">
        <v>0</v>
      </c>
      <c r="N288">
        <v>0</v>
      </c>
      <c r="O288">
        <v>3</v>
      </c>
      <c r="P288">
        <v>955</v>
      </c>
      <c r="Q288">
        <v>1230</v>
      </c>
      <c r="R288">
        <v>1420</v>
      </c>
      <c r="S288">
        <v>1420</v>
      </c>
    </row>
    <row r="289" spans="1:19" x14ac:dyDescent="0.4">
      <c r="A289" t="s">
        <v>67</v>
      </c>
      <c r="B289">
        <v>202111</v>
      </c>
      <c r="C289">
        <v>15400</v>
      </c>
      <c r="D289" t="s">
        <v>64</v>
      </c>
      <c r="E289">
        <v>160</v>
      </c>
      <c r="F289">
        <v>200</v>
      </c>
      <c r="G289">
        <v>155</v>
      </c>
      <c r="H289">
        <v>195</v>
      </c>
      <c r="I289">
        <v>195</v>
      </c>
      <c r="J289" t="s">
        <v>130</v>
      </c>
      <c r="K289" t="s">
        <v>730</v>
      </c>
      <c r="L289">
        <v>10</v>
      </c>
      <c r="M289">
        <v>29</v>
      </c>
      <c r="N289">
        <v>39</v>
      </c>
      <c r="O289">
        <v>631</v>
      </c>
      <c r="P289">
        <v>141</v>
      </c>
      <c r="Q289">
        <v>220</v>
      </c>
      <c r="R289">
        <v>313</v>
      </c>
      <c r="S289">
        <v>94</v>
      </c>
    </row>
    <row r="290" spans="1:19" x14ac:dyDescent="0.4">
      <c r="A290" t="s">
        <v>67</v>
      </c>
      <c r="B290">
        <v>202111</v>
      </c>
      <c r="C290">
        <v>15500</v>
      </c>
      <c r="D290" t="s">
        <v>62</v>
      </c>
      <c r="E290" t="s">
        <v>63</v>
      </c>
      <c r="F290" t="s">
        <v>63</v>
      </c>
      <c r="G290" t="s">
        <v>63</v>
      </c>
      <c r="H290" t="s">
        <v>63</v>
      </c>
      <c r="I290">
        <v>1010</v>
      </c>
      <c r="J290" t="s">
        <v>68</v>
      </c>
      <c r="K290" t="s">
        <v>68</v>
      </c>
      <c r="L290">
        <v>0</v>
      </c>
      <c r="M290">
        <v>0</v>
      </c>
      <c r="N290">
        <v>0</v>
      </c>
      <c r="O290">
        <v>0</v>
      </c>
      <c r="P290">
        <v>875</v>
      </c>
      <c r="Q290">
        <v>1150</v>
      </c>
      <c r="R290" t="s">
        <v>63</v>
      </c>
      <c r="S290" t="s">
        <v>63</v>
      </c>
    </row>
    <row r="291" spans="1:19" x14ac:dyDescent="0.4">
      <c r="A291" t="s">
        <v>67</v>
      </c>
      <c r="B291">
        <v>202111</v>
      </c>
      <c r="C291">
        <v>15500</v>
      </c>
      <c r="D291" t="s">
        <v>64</v>
      </c>
      <c r="E291">
        <v>215</v>
      </c>
      <c r="F291">
        <v>218</v>
      </c>
      <c r="G291">
        <v>183</v>
      </c>
      <c r="H291">
        <v>215</v>
      </c>
      <c r="I291">
        <v>215</v>
      </c>
      <c r="J291" t="s">
        <v>73</v>
      </c>
      <c r="K291" s="28">
        <v>0</v>
      </c>
      <c r="L291">
        <v>12</v>
      </c>
      <c r="M291">
        <v>40</v>
      </c>
      <c r="N291">
        <v>52</v>
      </c>
      <c r="O291">
        <v>438</v>
      </c>
      <c r="P291">
        <v>211</v>
      </c>
      <c r="Q291">
        <v>220</v>
      </c>
      <c r="R291">
        <v>333</v>
      </c>
      <c r="S291">
        <v>69</v>
      </c>
    </row>
    <row r="292" spans="1:19" x14ac:dyDescent="0.4">
      <c r="A292" t="s">
        <v>67</v>
      </c>
      <c r="B292">
        <v>202111</v>
      </c>
      <c r="C292">
        <v>15600</v>
      </c>
      <c r="D292" t="s">
        <v>62</v>
      </c>
      <c r="E292">
        <v>1100</v>
      </c>
      <c r="F292">
        <v>1100</v>
      </c>
      <c r="G292">
        <v>1100</v>
      </c>
      <c r="H292">
        <v>1100</v>
      </c>
      <c r="I292">
        <v>930</v>
      </c>
      <c r="J292" t="s">
        <v>731</v>
      </c>
      <c r="K292" t="s">
        <v>732</v>
      </c>
      <c r="L292">
        <v>0</v>
      </c>
      <c r="M292">
        <v>1</v>
      </c>
      <c r="N292">
        <v>1</v>
      </c>
      <c r="O292">
        <v>3</v>
      </c>
      <c r="P292">
        <v>795</v>
      </c>
      <c r="Q292">
        <v>1070</v>
      </c>
      <c r="R292">
        <v>1100</v>
      </c>
      <c r="S292">
        <v>905</v>
      </c>
    </row>
    <row r="293" spans="1:19" x14ac:dyDescent="0.4">
      <c r="A293" t="s">
        <v>67</v>
      </c>
      <c r="B293">
        <v>202111</v>
      </c>
      <c r="C293">
        <v>15600</v>
      </c>
      <c r="D293" t="s">
        <v>64</v>
      </c>
      <c r="E293">
        <v>200</v>
      </c>
      <c r="F293">
        <v>234</v>
      </c>
      <c r="G293">
        <v>188</v>
      </c>
      <c r="H293">
        <v>222</v>
      </c>
      <c r="I293">
        <v>236</v>
      </c>
      <c r="J293" t="s">
        <v>77</v>
      </c>
      <c r="K293" t="s">
        <v>733</v>
      </c>
      <c r="L293">
        <v>9</v>
      </c>
      <c r="M293">
        <v>46</v>
      </c>
      <c r="N293">
        <v>55</v>
      </c>
      <c r="O293">
        <v>481</v>
      </c>
      <c r="P293">
        <v>232</v>
      </c>
      <c r="Q293">
        <v>250</v>
      </c>
      <c r="R293">
        <v>479</v>
      </c>
      <c r="S293">
        <v>107</v>
      </c>
    </row>
    <row r="294" spans="1:19" x14ac:dyDescent="0.4">
      <c r="A294" t="s">
        <v>67</v>
      </c>
      <c r="B294">
        <v>202111</v>
      </c>
      <c r="C294">
        <v>15700</v>
      </c>
      <c r="D294" t="s">
        <v>62</v>
      </c>
      <c r="E294" t="s">
        <v>63</v>
      </c>
      <c r="F294" t="s">
        <v>63</v>
      </c>
      <c r="G294" t="s">
        <v>63</v>
      </c>
      <c r="H294" t="s">
        <v>63</v>
      </c>
      <c r="I294">
        <v>860</v>
      </c>
      <c r="J294" t="s">
        <v>68</v>
      </c>
      <c r="K294" t="s">
        <v>68</v>
      </c>
      <c r="L294">
        <v>0</v>
      </c>
      <c r="M294">
        <v>0</v>
      </c>
      <c r="N294">
        <v>0</v>
      </c>
      <c r="O294">
        <v>1</v>
      </c>
      <c r="P294">
        <v>845</v>
      </c>
      <c r="Q294">
        <v>870</v>
      </c>
      <c r="R294">
        <v>935</v>
      </c>
      <c r="S294">
        <v>935</v>
      </c>
    </row>
    <row r="295" spans="1:19" x14ac:dyDescent="0.4">
      <c r="A295" t="s">
        <v>67</v>
      </c>
      <c r="B295">
        <v>202111</v>
      </c>
      <c r="C295">
        <v>15700</v>
      </c>
      <c r="D295" t="s">
        <v>64</v>
      </c>
      <c r="E295">
        <v>215</v>
      </c>
      <c r="F295">
        <v>261</v>
      </c>
      <c r="G295">
        <v>208</v>
      </c>
      <c r="H295">
        <v>260</v>
      </c>
      <c r="I295">
        <v>260</v>
      </c>
      <c r="J295" t="s">
        <v>101</v>
      </c>
      <c r="K295" t="s">
        <v>250</v>
      </c>
      <c r="L295">
        <v>11</v>
      </c>
      <c r="M295">
        <v>42</v>
      </c>
      <c r="N295">
        <v>53</v>
      </c>
      <c r="O295">
        <v>335</v>
      </c>
      <c r="P295">
        <v>257</v>
      </c>
      <c r="Q295">
        <v>267</v>
      </c>
      <c r="R295">
        <v>393</v>
      </c>
      <c r="S295">
        <v>115</v>
      </c>
    </row>
    <row r="296" spans="1:19" x14ac:dyDescent="0.4">
      <c r="A296" t="s">
        <v>67</v>
      </c>
      <c r="B296">
        <v>202111</v>
      </c>
      <c r="C296">
        <v>15800</v>
      </c>
      <c r="D296" t="s">
        <v>62</v>
      </c>
      <c r="E296" t="s">
        <v>63</v>
      </c>
      <c r="F296" t="s">
        <v>63</v>
      </c>
      <c r="G296" t="s">
        <v>63</v>
      </c>
      <c r="H296" t="s">
        <v>63</v>
      </c>
      <c r="I296">
        <v>785</v>
      </c>
      <c r="J296" t="s">
        <v>68</v>
      </c>
      <c r="K296" t="s">
        <v>68</v>
      </c>
      <c r="L296">
        <v>0</v>
      </c>
      <c r="M296">
        <v>0</v>
      </c>
      <c r="N296">
        <v>0</v>
      </c>
      <c r="O296">
        <v>26</v>
      </c>
      <c r="P296">
        <v>645</v>
      </c>
      <c r="Q296">
        <v>920</v>
      </c>
      <c r="R296">
        <v>1050</v>
      </c>
      <c r="S296">
        <v>710</v>
      </c>
    </row>
    <row r="297" spans="1:19" x14ac:dyDescent="0.4">
      <c r="A297" t="s">
        <v>67</v>
      </c>
      <c r="B297">
        <v>202111</v>
      </c>
      <c r="C297">
        <v>15800</v>
      </c>
      <c r="D297" t="s">
        <v>64</v>
      </c>
      <c r="E297">
        <v>234</v>
      </c>
      <c r="F297">
        <v>295</v>
      </c>
      <c r="G297">
        <v>234</v>
      </c>
      <c r="H297">
        <v>290</v>
      </c>
      <c r="I297">
        <v>290</v>
      </c>
      <c r="J297" t="s">
        <v>79</v>
      </c>
      <c r="K297" t="s">
        <v>734</v>
      </c>
      <c r="L297">
        <v>19</v>
      </c>
      <c r="M297">
        <v>65</v>
      </c>
      <c r="N297">
        <v>84</v>
      </c>
      <c r="O297">
        <v>794</v>
      </c>
      <c r="P297">
        <v>290</v>
      </c>
      <c r="Q297">
        <v>300</v>
      </c>
      <c r="R297">
        <v>535</v>
      </c>
      <c r="S297">
        <v>125</v>
      </c>
    </row>
    <row r="298" spans="1:19" x14ac:dyDescent="0.4">
      <c r="A298" t="s">
        <v>67</v>
      </c>
      <c r="B298">
        <v>202111</v>
      </c>
      <c r="C298">
        <v>15900</v>
      </c>
      <c r="D298" t="s">
        <v>62</v>
      </c>
      <c r="E298">
        <v>745</v>
      </c>
      <c r="F298">
        <v>745</v>
      </c>
      <c r="G298">
        <v>745</v>
      </c>
      <c r="H298">
        <v>745</v>
      </c>
      <c r="I298">
        <v>710</v>
      </c>
      <c r="J298" t="s">
        <v>216</v>
      </c>
      <c r="K298" t="s">
        <v>735</v>
      </c>
      <c r="L298">
        <v>1</v>
      </c>
      <c r="M298">
        <v>1</v>
      </c>
      <c r="N298">
        <v>2</v>
      </c>
      <c r="O298">
        <v>3</v>
      </c>
      <c r="P298">
        <v>700</v>
      </c>
      <c r="Q298">
        <v>725</v>
      </c>
      <c r="R298">
        <v>875</v>
      </c>
      <c r="S298">
        <v>680</v>
      </c>
    </row>
    <row r="299" spans="1:19" x14ac:dyDescent="0.4">
      <c r="A299" t="s">
        <v>67</v>
      </c>
      <c r="B299">
        <v>202111</v>
      </c>
      <c r="C299">
        <v>15900</v>
      </c>
      <c r="D299" t="s">
        <v>64</v>
      </c>
      <c r="E299">
        <v>255</v>
      </c>
      <c r="F299">
        <v>314</v>
      </c>
      <c r="G299">
        <v>247</v>
      </c>
      <c r="H299">
        <v>314</v>
      </c>
      <c r="I299">
        <v>314</v>
      </c>
      <c r="J299" t="s">
        <v>78</v>
      </c>
      <c r="K299" t="s">
        <v>293</v>
      </c>
      <c r="L299">
        <v>20</v>
      </c>
      <c r="M299">
        <v>66</v>
      </c>
      <c r="N299">
        <v>86</v>
      </c>
      <c r="O299">
        <v>289</v>
      </c>
      <c r="P299">
        <v>316</v>
      </c>
      <c r="Q299">
        <v>325</v>
      </c>
      <c r="R299">
        <v>540</v>
      </c>
      <c r="S299">
        <v>149</v>
      </c>
    </row>
    <row r="300" spans="1:19" x14ac:dyDescent="0.4">
      <c r="A300" t="s">
        <v>67</v>
      </c>
      <c r="B300">
        <v>202111</v>
      </c>
      <c r="C300">
        <v>16000</v>
      </c>
      <c r="D300" t="s">
        <v>62</v>
      </c>
      <c r="E300">
        <v>705</v>
      </c>
      <c r="F300">
        <v>705</v>
      </c>
      <c r="G300">
        <v>650</v>
      </c>
      <c r="H300">
        <v>650</v>
      </c>
      <c r="I300">
        <v>650</v>
      </c>
      <c r="J300" t="s">
        <v>366</v>
      </c>
      <c r="K300" t="s">
        <v>504</v>
      </c>
      <c r="L300">
        <v>0</v>
      </c>
      <c r="M300">
        <v>14</v>
      </c>
      <c r="N300">
        <v>14</v>
      </c>
      <c r="O300">
        <v>35</v>
      </c>
      <c r="P300">
        <v>640</v>
      </c>
      <c r="Q300">
        <v>655</v>
      </c>
      <c r="R300">
        <v>915</v>
      </c>
      <c r="S300">
        <v>580</v>
      </c>
    </row>
    <row r="301" spans="1:19" x14ac:dyDescent="0.4">
      <c r="A301" t="s">
        <v>67</v>
      </c>
      <c r="B301">
        <v>202111</v>
      </c>
      <c r="C301">
        <v>16000</v>
      </c>
      <c r="D301" t="s">
        <v>64</v>
      </c>
      <c r="E301">
        <v>291</v>
      </c>
      <c r="F301">
        <v>350</v>
      </c>
      <c r="G301">
        <v>277</v>
      </c>
      <c r="H301">
        <v>348</v>
      </c>
      <c r="I301">
        <v>348</v>
      </c>
      <c r="J301" t="s">
        <v>112</v>
      </c>
      <c r="K301" t="s">
        <v>736</v>
      </c>
      <c r="L301">
        <v>37</v>
      </c>
      <c r="M301">
        <v>125</v>
      </c>
      <c r="N301">
        <v>162</v>
      </c>
      <c r="O301">
        <v>1024</v>
      </c>
      <c r="P301">
        <v>346</v>
      </c>
      <c r="Q301">
        <v>354</v>
      </c>
      <c r="R301">
        <v>600</v>
      </c>
      <c r="S301">
        <v>136</v>
      </c>
    </row>
    <row r="302" spans="1:19" x14ac:dyDescent="0.4">
      <c r="A302" t="s">
        <v>67</v>
      </c>
      <c r="B302">
        <v>202111</v>
      </c>
      <c r="C302">
        <v>16100</v>
      </c>
      <c r="D302" t="s">
        <v>62</v>
      </c>
      <c r="E302">
        <v>600</v>
      </c>
      <c r="F302">
        <v>600</v>
      </c>
      <c r="G302">
        <v>580</v>
      </c>
      <c r="H302">
        <v>580</v>
      </c>
      <c r="I302">
        <v>580</v>
      </c>
      <c r="J302" t="s">
        <v>718</v>
      </c>
      <c r="K302" t="s">
        <v>287</v>
      </c>
      <c r="L302">
        <v>1</v>
      </c>
      <c r="M302">
        <v>6</v>
      </c>
      <c r="N302">
        <v>7</v>
      </c>
      <c r="O302">
        <v>26</v>
      </c>
      <c r="P302">
        <v>565</v>
      </c>
      <c r="Q302">
        <v>590</v>
      </c>
      <c r="R302">
        <v>1580</v>
      </c>
      <c r="S302">
        <v>520</v>
      </c>
    </row>
    <row r="303" spans="1:19" x14ac:dyDescent="0.4">
      <c r="A303" t="s">
        <v>67</v>
      </c>
      <c r="B303">
        <v>202111</v>
      </c>
      <c r="C303">
        <v>16100</v>
      </c>
      <c r="D303" t="s">
        <v>64</v>
      </c>
      <c r="E303">
        <v>311</v>
      </c>
      <c r="F303">
        <v>386</v>
      </c>
      <c r="G303">
        <v>301</v>
      </c>
      <c r="H303">
        <v>386</v>
      </c>
      <c r="I303">
        <v>386</v>
      </c>
      <c r="J303" t="s">
        <v>274</v>
      </c>
      <c r="K303" t="s">
        <v>737</v>
      </c>
      <c r="L303">
        <v>10</v>
      </c>
      <c r="M303">
        <v>23</v>
      </c>
      <c r="N303">
        <v>33</v>
      </c>
      <c r="O303">
        <v>641</v>
      </c>
      <c r="P303">
        <v>379</v>
      </c>
      <c r="Q303">
        <v>391</v>
      </c>
      <c r="R303">
        <v>705</v>
      </c>
      <c r="S303">
        <v>124</v>
      </c>
    </row>
    <row r="304" spans="1:19" x14ac:dyDescent="0.4">
      <c r="A304" t="s">
        <v>67</v>
      </c>
      <c r="B304">
        <v>202111</v>
      </c>
      <c r="C304">
        <v>16200</v>
      </c>
      <c r="D304" t="s">
        <v>62</v>
      </c>
      <c r="E304">
        <v>575</v>
      </c>
      <c r="F304">
        <v>575</v>
      </c>
      <c r="G304">
        <v>525</v>
      </c>
      <c r="H304">
        <v>525</v>
      </c>
      <c r="I304">
        <v>525</v>
      </c>
      <c r="J304" t="s">
        <v>220</v>
      </c>
      <c r="K304" t="s">
        <v>738</v>
      </c>
      <c r="L304">
        <v>0</v>
      </c>
      <c r="M304">
        <v>8</v>
      </c>
      <c r="N304">
        <v>8</v>
      </c>
      <c r="O304">
        <v>249</v>
      </c>
      <c r="P304">
        <v>498</v>
      </c>
      <c r="Q304">
        <v>535</v>
      </c>
      <c r="R304">
        <v>1080</v>
      </c>
      <c r="S304">
        <v>475</v>
      </c>
    </row>
    <row r="305" spans="1:19" x14ac:dyDescent="0.4">
      <c r="A305" t="s">
        <v>67</v>
      </c>
      <c r="B305">
        <v>202111</v>
      </c>
      <c r="C305">
        <v>16200</v>
      </c>
      <c r="D305" t="s">
        <v>64</v>
      </c>
      <c r="E305">
        <v>345</v>
      </c>
      <c r="F305">
        <v>424</v>
      </c>
      <c r="G305">
        <v>345</v>
      </c>
      <c r="H305">
        <v>424</v>
      </c>
      <c r="I305">
        <v>424</v>
      </c>
      <c r="J305" t="s">
        <v>739</v>
      </c>
      <c r="K305" t="s">
        <v>740</v>
      </c>
      <c r="L305">
        <v>9</v>
      </c>
      <c r="M305">
        <v>35</v>
      </c>
      <c r="N305">
        <v>44</v>
      </c>
      <c r="O305">
        <v>2105</v>
      </c>
      <c r="P305">
        <v>418</v>
      </c>
      <c r="Q305">
        <v>427</v>
      </c>
      <c r="R305">
        <v>710</v>
      </c>
      <c r="S305">
        <v>172</v>
      </c>
    </row>
    <row r="306" spans="1:19" x14ac:dyDescent="0.4">
      <c r="A306" t="s">
        <v>67</v>
      </c>
      <c r="B306">
        <v>202111</v>
      </c>
      <c r="C306">
        <v>16300</v>
      </c>
      <c r="D306" t="s">
        <v>62</v>
      </c>
      <c r="E306">
        <v>580</v>
      </c>
      <c r="F306">
        <v>580</v>
      </c>
      <c r="G306">
        <v>462</v>
      </c>
      <c r="H306">
        <v>462</v>
      </c>
      <c r="I306">
        <v>454</v>
      </c>
      <c r="J306" t="s">
        <v>577</v>
      </c>
      <c r="K306" t="s">
        <v>741</v>
      </c>
      <c r="L306">
        <v>4</v>
      </c>
      <c r="M306">
        <v>74</v>
      </c>
      <c r="N306">
        <v>78</v>
      </c>
      <c r="O306">
        <v>618</v>
      </c>
      <c r="P306">
        <v>450</v>
      </c>
      <c r="Q306">
        <v>459</v>
      </c>
      <c r="R306">
        <v>1170</v>
      </c>
      <c r="S306">
        <v>418</v>
      </c>
    </row>
    <row r="307" spans="1:19" x14ac:dyDescent="0.4">
      <c r="A307" t="s">
        <v>67</v>
      </c>
      <c r="B307">
        <v>202111</v>
      </c>
      <c r="C307">
        <v>16300</v>
      </c>
      <c r="D307" t="s">
        <v>64</v>
      </c>
      <c r="E307">
        <v>382</v>
      </c>
      <c r="F307">
        <v>462</v>
      </c>
      <c r="G307">
        <v>364</v>
      </c>
      <c r="H307">
        <v>459</v>
      </c>
      <c r="I307">
        <v>459</v>
      </c>
      <c r="J307" t="s">
        <v>217</v>
      </c>
      <c r="K307" t="s">
        <v>742</v>
      </c>
      <c r="L307">
        <v>13</v>
      </c>
      <c r="M307">
        <v>260</v>
      </c>
      <c r="N307">
        <v>273</v>
      </c>
      <c r="O307">
        <v>788</v>
      </c>
      <c r="P307">
        <v>458</v>
      </c>
      <c r="Q307">
        <v>468</v>
      </c>
      <c r="R307">
        <v>650</v>
      </c>
      <c r="S307">
        <v>190</v>
      </c>
    </row>
    <row r="308" spans="1:19" x14ac:dyDescent="0.4">
      <c r="A308" t="s">
        <v>67</v>
      </c>
      <c r="B308">
        <v>202111</v>
      </c>
      <c r="C308">
        <v>16400</v>
      </c>
      <c r="D308" t="s">
        <v>62</v>
      </c>
      <c r="E308">
        <v>515</v>
      </c>
      <c r="F308">
        <v>515</v>
      </c>
      <c r="G308">
        <v>400</v>
      </c>
      <c r="H308">
        <v>400</v>
      </c>
      <c r="I308">
        <v>400</v>
      </c>
      <c r="J308" t="s">
        <v>573</v>
      </c>
      <c r="K308" t="s">
        <v>743</v>
      </c>
      <c r="L308">
        <v>9</v>
      </c>
      <c r="M308">
        <v>480</v>
      </c>
      <c r="N308">
        <v>489</v>
      </c>
      <c r="O308">
        <v>1111</v>
      </c>
      <c r="P308">
        <v>394</v>
      </c>
      <c r="Q308">
        <v>402</v>
      </c>
      <c r="R308">
        <v>1030</v>
      </c>
      <c r="S308">
        <v>369</v>
      </c>
    </row>
    <row r="309" spans="1:19" x14ac:dyDescent="0.4">
      <c r="A309" t="s">
        <v>67</v>
      </c>
      <c r="B309">
        <v>202111</v>
      </c>
      <c r="C309">
        <v>16400</v>
      </c>
      <c r="D309" t="s">
        <v>64</v>
      </c>
      <c r="E309">
        <v>422</v>
      </c>
      <c r="F309">
        <v>505</v>
      </c>
      <c r="G309">
        <v>404</v>
      </c>
      <c r="H309">
        <v>505</v>
      </c>
      <c r="I309">
        <v>505</v>
      </c>
      <c r="J309" t="s">
        <v>530</v>
      </c>
      <c r="K309" t="s">
        <v>744</v>
      </c>
      <c r="L309">
        <v>15</v>
      </c>
      <c r="M309">
        <v>159</v>
      </c>
      <c r="N309">
        <v>174</v>
      </c>
      <c r="O309">
        <v>1325</v>
      </c>
      <c r="P309">
        <v>500</v>
      </c>
      <c r="Q309">
        <v>515</v>
      </c>
      <c r="R309">
        <v>845</v>
      </c>
      <c r="S309">
        <v>206</v>
      </c>
    </row>
    <row r="310" spans="1:19" x14ac:dyDescent="0.4">
      <c r="A310" t="s">
        <v>67</v>
      </c>
      <c r="B310">
        <v>202111</v>
      </c>
      <c r="C310">
        <v>16500</v>
      </c>
      <c r="D310" t="s">
        <v>62</v>
      </c>
      <c r="E310">
        <v>442</v>
      </c>
      <c r="F310">
        <v>442</v>
      </c>
      <c r="G310">
        <v>346</v>
      </c>
      <c r="H310">
        <v>346</v>
      </c>
      <c r="I310">
        <v>346</v>
      </c>
      <c r="J310" t="s">
        <v>745</v>
      </c>
      <c r="K310" t="s">
        <v>746</v>
      </c>
      <c r="L310">
        <v>11</v>
      </c>
      <c r="M310">
        <v>119</v>
      </c>
      <c r="N310">
        <v>130</v>
      </c>
      <c r="O310">
        <v>274</v>
      </c>
      <c r="P310">
        <v>344</v>
      </c>
      <c r="Q310">
        <v>352</v>
      </c>
      <c r="R310">
        <v>865</v>
      </c>
      <c r="S310">
        <v>308</v>
      </c>
    </row>
    <row r="311" spans="1:19" x14ac:dyDescent="0.4">
      <c r="A311" t="s">
        <v>67</v>
      </c>
      <c r="B311">
        <v>202111</v>
      </c>
      <c r="C311">
        <v>16500</v>
      </c>
      <c r="D311" t="s">
        <v>64</v>
      </c>
      <c r="E311">
        <v>453</v>
      </c>
      <c r="F311">
        <v>545</v>
      </c>
      <c r="G311">
        <v>441</v>
      </c>
      <c r="H311">
        <v>530</v>
      </c>
      <c r="I311">
        <v>550</v>
      </c>
      <c r="J311" t="s">
        <v>73</v>
      </c>
      <c r="K311" s="28">
        <v>0</v>
      </c>
      <c r="L311">
        <v>15</v>
      </c>
      <c r="M311">
        <v>52</v>
      </c>
      <c r="N311">
        <v>67</v>
      </c>
      <c r="O311">
        <v>2338</v>
      </c>
      <c r="P311">
        <v>550</v>
      </c>
      <c r="Q311">
        <v>570</v>
      </c>
      <c r="R311">
        <v>715</v>
      </c>
      <c r="S311">
        <v>218</v>
      </c>
    </row>
    <row r="312" spans="1:19" x14ac:dyDescent="0.4">
      <c r="A312" t="s">
        <v>67</v>
      </c>
      <c r="B312">
        <v>202111</v>
      </c>
      <c r="C312">
        <v>16600</v>
      </c>
      <c r="D312" t="s">
        <v>62</v>
      </c>
      <c r="E312">
        <v>395</v>
      </c>
      <c r="F312">
        <v>415</v>
      </c>
      <c r="G312">
        <v>306</v>
      </c>
      <c r="H312">
        <v>306</v>
      </c>
      <c r="I312">
        <v>300</v>
      </c>
      <c r="J312" t="s">
        <v>747</v>
      </c>
      <c r="K312" t="s">
        <v>748</v>
      </c>
      <c r="L312">
        <v>7</v>
      </c>
      <c r="M312">
        <v>62</v>
      </c>
      <c r="N312">
        <v>69</v>
      </c>
      <c r="O312">
        <v>245</v>
      </c>
      <c r="P312">
        <v>300</v>
      </c>
      <c r="Q312">
        <v>302</v>
      </c>
      <c r="R312">
        <v>750</v>
      </c>
      <c r="S312">
        <v>303</v>
      </c>
    </row>
    <row r="313" spans="1:19" x14ac:dyDescent="0.4">
      <c r="A313" t="s">
        <v>67</v>
      </c>
      <c r="B313">
        <v>202111</v>
      </c>
      <c r="C313">
        <v>16600</v>
      </c>
      <c r="D313" t="s">
        <v>64</v>
      </c>
      <c r="E313">
        <v>505</v>
      </c>
      <c r="F313">
        <v>600</v>
      </c>
      <c r="G313">
        <v>492</v>
      </c>
      <c r="H313">
        <v>600</v>
      </c>
      <c r="I313">
        <v>600</v>
      </c>
      <c r="J313" t="s">
        <v>274</v>
      </c>
      <c r="K313" t="s">
        <v>412</v>
      </c>
      <c r="L313">
        <v>19</v>
      </c>
      <c r="M313">
        <v>23</v>
      </c>
      <c r="N313">
        <v>42</v>
      </c>
      <c r="O313">
        <v>3493</v>
      </c>
      <c r="P313">
        <v>600</v>
      </c>
      <c r="Q313">
        <v>625</v>
      </c>
      <c r="R313">
        <v>815</v>
      </c>
      <c r="S313">
        <v>245</v>
      </c>
    </row>
    <row r="314" spans="1:19" x14ac:dyDescent="0.4">
      <c r="A314" t="s">
        <v>67</v>
      </c>
      <c r="B314">
        <v>202111</v>
      </c>
      <c r="C314">
        <v>16700</v>
      </c>
      <c r="D314" t="s">
        <v>62</v>
      </c>
      <c r="E314">
        <v>360</v>
      </c>
      <c r="F314">
        <v>360</v>
      </c>
      <c r="G314">
        <v>260</v>
      </c>
      <c r="H314">
        <v>260</v>
      </c>
      <c r="I314">
        <v>260</v>
      </c>
      <c r="J314" t="s">
        <v>376</v>
      </c>
      <c r="K314" t="s">
        <v>563</v>
      </c>
      <c r="L314">
        <v>8</v>
      </c>
      <c r="M314">
        <v>44</v>
      </c>
      <c r="N314">
        <v>52</v>
      </c>
      <c r="O314">
        <v>648</v>
      </c>
      <c r="P314">
        <v>254</v>
      </c>
      <c r="Q314">
        <v>257</v>
      </c>
      <c r="R314">
        <v>980</v>
      </c>
      <c r="S314">
        <v>246</v>
      </c>
    </row>
    <row r="315" spans="1:19" x14ac:dyDescent="0.4">
      <c r="A315" t="s">
        <v>67</v>
      </c>
      <c r="B315">
        <v>202111</v>
      </c>
      <c r="C315">
        <v>16700</v>
      </c>
      <c r="D315" t="s">
        <v>64</v>
      </c>
      <c r="E315">
        <v>535</v>
      </c>
      <c r="F315">
        <v>665</v>
      </c>
      <c r="G315">
        <v>535</v>
      </c>
      <c r="H315">
        <v>655</v>
      </c>
      <c r="I315">
        <v>665</v>
      </c>
      <c r="J315" t="s">
        <v>618</v>
      </c>
      <c r="K315" t="s">
        <v>749</v>
      </c>
      <c r="L315">
        <v>10</v>
      </c>
      <c r="M315">
        <v>11</v>
      </c>
      <c r="N315">
        <v>21</v>
      </c>
      <c r="O315">
        <v>2566</v>
      </c>
      <c r="P315">
        <v>660</v>
      </c>
      <c r="Q315">
        <v>680</v>
      </c>
      <c r="R315">
        <v>860</v>
      </c>
      <c r="S315">
        <v>284</v>
      </c>
    </row>
    <row r="316" spans="1:19" x14ac:dyDescent="0.4">
      <c r="A316" t="s">
        <v>67</v>
      </c>
      <c r="B316">
        <v>202111</v>
      </c>
      <c r="C316">
        <v>16800</v>
      </c>
      <c r="D316" t="s">
        <v>62</v>
      </c>
      <c r="E316">
        <v>315</v>
      </c>
      <c r="F316">
        <v>326</v>
      </c>
      <c r="G316">
        <v>223</v>
      </c>
      <c r="H316">
        <v>223</v>
      </c>
      <c r="I316">
        <v>223</v>
      </c>
      <c r="J316" t="s">
        <v>313</v>
      </c>
      <c r="K316" t="s">
        <v>750</v>
      </c>
      <c r="L316">
        <v>19</v>
      </c>
      <c r="M316">
        <v>154</v>
      </c>
      <c r="N316">
        <v>173</v>
      </c>
      <c r="O316">
        <v>386</v>
      </c>
      <c r="P316">
        <v>214</v>
      </c>
      <c r="Q316">
        <v>222</v>
      </c>
      <c r="R316">
        <v>820</v>
      </c>
      <c r="S316">
        <v>223</v>
      </c>
    </row>
    <row r="317" spans="1:19" x14ac:dyDescent="0.4">
      <c r="A317" t="s">
        <v>67</v>
      </c>
      <c r="B317">
        <v>202111</v>
      </c>
      <c r="C317">
        <v>16800</v>
      </c>
      <c r="D317" t="s">
        <v>64</v>
      </c>
      <c r="E317">
        <v>610</v>
      </c>
      <c r="F317">
        <v>710</v>
      </c>
      <c r="G317">
        <v>610</v>
      </c>
      <c r="H317">
        <v>710</v>
      </c>
      <c r="I317">
        <v>730</v>
      </c>
      <c r="J317" t="s">
        <v>144</v>
      </c>
      <c r="K317" t="s">
        <v>751</v>
      </c>
      <c r="L317">
        <v>1</v>
      </c>
      <c r="M317">
        <v>8</v>
      </c>
      <c r="N317">
        <v>9</v>
      </c>
      <c r="O317">
        <v>366</v>
      </c>
      <c r="P317">
        <v>720</v>
      </c>
      <c r="Q317">
        <v>740</v>
      </c>
      <c r="R317">
        <v>920</v>
      </c>
      <c r="S317">
        <v>292</v>
      </c>
    </row>
    <row r="318" spans="1:19" x14ac:dyDescent="0.4">
      <c r="A318" t="s">
        <v>67</v>
      </c>
      <c r="B318">
        <v>202111</v>
      </c>
      <c r="C318">
        <v>16900</v>
      </c>
      <c r="D318" t="s">
        <v>62</v>
      </c>
      <c r="E318">
        <v>262</v>
      </c>
      <c r="F318">
        <v>262</v>
      </c>
      <c r="G318">
        <v>180</v>
      </c>
      <c r="H318">
        <v>180</v>
      </c>
      <c r="I318">
        <v>180</v>
      </c>
      <c r="J318" t="s">
        <v>226</v>
      </c>
      <c r="K318" t="s">
        <v>752</v>
      </c>
      <c r="L318">
        <v>39</v>
      </c>
      <c r="M318">
        <v>225</v>
      </c>
      <c r="N318">
        <v>264</v>
      </c>
      <c r="O318">
        <v>399</v>
      </c>
      <c r="P318">
        <v>174</v>
      </c>
      <c r="Q318">
        <v>185</v>
      </c>
      <c r="R318">
        <v>735</v>
      </c>
      <c r="S318">
        <v>180</v>
      </c>
    </row>
    <row r="319" spans="1:19" x14ac:dyDescent="0.4">
      <c r="A319" t="s">
        <v>67</v>
      </c>
      <c r="B319">
        <v>202111</v>
      </c>
      <c r="C319">
        <v>16900</v>
      </c>
      <c r="D319" t="s">
        <v>64</v>
      </c>
      <c r="E319">
        <v>655</v>
      </c>
      <c r="F319">
        <v>755</v>
      </c>
      <c r="G319">
        <v>655</v>
      </c>
      <c r="H319">
        <v>755</v>
      </c>
      <c r="I319">
        <v>785</v>
      </c>
      <c r="J319" t="s">
        <v>275</v>
      </c>
      <c r="K319" t="s">
        <v>251</v>
      </c>
      <c r="L319">
        <v>0</v>
      </c>
      <c r="M319">
        <v>6</v>
      </c>
      <c r="N319">
        <v>6</v>
      </c>
      <c r="O319">
        <v>520</v>
      </c>
      <c r="P319">
        <v>650</v>
      </c>
      <c r="Q319">
        <v>915</v>
      </c>
      <c r="R319">
        <v>840</v>
      </c>
      <c r="S319">
        <v>315</v>
      </c>
    </row>
    <row r="320" spans="1:19" x14ac:dyDescent="0.4">
      <c r="A320" t="s">
        <v>67</v>
      </c>
      <c r="B320">
        <v>202111</v>
      </c>
      <c r="C320">
        <v>17000</v>
      </c>
      <c r="D320" t="s">
        <v>62</v>
      </c>
      <c r="E320">
        <v>217</v>
      </c>
      <c r="F320">
        <v>235</v>
      </c>
      <c r="G320">
        <v>150</v>
      </c>
      <c r="H320">
        <v>150</v>
      </c>
      <c r="I320">
        <v>150</v>
      </c>
      <c r="J320" t="s">
        <v>97</v>
      </c>
      <c r="K320" t="s">
        <v>753</v>
      </c>
      <c r="L320">
        <v>64</v>
      </c>
      <c r="M320">
        <v>240</v>
      </c>
      <c r="N320">
        <v>304</v>
      </c>
      <c r="O320">
        <v>481</v>
      </c>
      <c r="P320">
        <v>138</v>
      </c>
      <c r="Q320">
        <v>157</v>
      </c>
      <c r="R320">
        <v>800</v>
      </c>
      <c r="S320">
        <v>150</v>
      </c>
    </row>
    <row r="321" spans="1:19" x14ac:dyDescent="0.4">
      <c r="A321" t="s">
        <v>67</v>
      </c>
      <c r="B321">
        <v>202111</v>
      </c>
      <c r="C321">
        <v>17000</v>
      </c>
      <c r="D321" t="s">
        <v>64</v>
      </c>
      <c r="E321">
        <v>720</v>
      </c>
      <c r="F321">
        <v>840</v>
      </c>
      <c r="G321">
        <v>715</v>
      </c>
      <c r="H321">
        <v>840</v>
      </c>
      <c r="I321">
        <v>855</v>
      </c>
      <c r="J321" t="s">
        <v>144</v>
      </c>
      <c r="K321" s="28" t="s">
        <v>128</v>
      </c>
      <c r="L321">
        <v>0</v>
      </c>
      <c r="M321">
        <v>7</v>
      </c>
      <c r="N321">
        <v>7</v>
      </c>
      <c r="O321">
        <v>438</v>
      </c>
      <c r="P321">
        <v>850</v>
      </c>
      <c r="Q321">
        <v>965</v>
      </c>
      <c r="R321">
        <v>980</v>
      </c>
      <c r="S321">
        <v>345</v>
      </c>
    </row>
    <row r="322" spans="1:19" x14ac:dyDescent="0.4">
      <c r="A322" t="s">
        <v>67</v>
      </c>
      <c r="B322">
        <v>202111</v>
      </c>
      <c r="C322">
        <v>17100</v>
      </c>
      <c r="D322" t="s">
        <v>62</v>
      </c>
      <c r="E322">
        <v>193</v>
      </c>
      <c r="F322">
        <v>199</v>
      </c>
      <c r="G322">
        <v>124</v>
      </c>
      <c r="H322">
        <v>124</v>
      </c>
      <c r="I322">
        <v>124</v>
      </c>
      <c r="J322" t="s">
        <v>427</v>
      </c>
      <c r="K322" t="s">
        <v>754</v>
      </c>
      <c r="L322">
        <v>25</v>
      </c>
      <c r="M322">
        <v>141</v>
      </c>
      <c r="N322">
        <v>166</v>
      </c>
      <c r="O322">
        <v>993</v>
      </c>
      <c r="P322">
        <v>123</v>
      </c>
      <c r="Q322">
        <v>129</v>
      </c>
      <c r="R322">
        <v>685</v>
      </c>
      <c r="S322">
        <v>124</v>
      </c>
    </row>
    <row r="323" spans="1:19" x14ac:dyDescent="0.4">
      <c r="A323" t="s">
        <v>67</v>
      </c>
      <c r="B323">
        <v>202111</v>
      </c>
      <c r="C323">
        <v>17100</v>
      </c>
      <c r="D323" t="s">
        <v>64</v>
      </c>
      <c r="E323">
        <v>870</v>
      </c>
      <c r="F323">
        <v>870</v>
      </c>
      <c r="G323">
        <v>870</v>
      </c>
      <c r="H323">
        <v>870</v>
      </c>
      <c r="I323">
        <v>930</v>
      </c>
      <c r="J323" t="s">
        <v>77</v>
      </c>
      <c r="K323" t="s">
        <v>755</v>
      </c>
      <c r="L323">
        <v>0</v>
      </c>
      <c r="M323">
        <v>1</v>
      </c>
      <c r="N323">
        <v>1</v>
      </c>
      <c r="O323">
        <v>392</v>
      </c>
      <c r="P323">
        <v>790</v>
      </c>
      <c r="Q323">
        <v>935</v>
      </c>
      <c r="R323">
        <v>910</v>
      </c>
      <c r="S323">
        <v>386</v>
      </c>
    </row>
    <row r="324" spans="1:19" x14ac:dyDescent="0.4">
      <c r="A324" t="s">
        <v>67</v>
      </c>
      <c r="B324">
        <v>202111</v>
      </c>
      <c r="C324">
        <v>17200</v>
      </c>
      <c r="D324" t="s">
        <v>62</v>
      </c>
      <c r="E324">
        <v>160</v>
      </c>
      <c r="F324">
        <v>168</v>
      </c>
      <c r="G324">
        <v>100</v>
      </c>
      <c r="H324">
        <v>100</v>
      </c>
      <c r="I324">
        <v>100</v>
      </c>
      <c r="J324" t="s">
        <v>270</v>
      </c>
      <c r="K324" t="s">
        <v>103</v>
      </c>
      <c r="L324">
        <v>30</v>
      </c>
      <c r="M324">
        <v>266</v>
      </c>
      <c r="N324">
        <v>296</v>
      </c>
      <c r="O324">
        <v>909</v>
      </c>
      <c r="P324">
        <v>100</v>
      </c>
      <c r="Q324">
        <v>101</v>
      </c>
      <c r="R324">
        <v>695</v>
      </c>
      <c r="S324">
        <v>64</v>
      </c>
    </row>
    <row r="325" spans="1:19" x14ac:dyDescent="0.4">
      <c r="A325" t="s">
        <v>67</v>
      </c>
      <c r="B325">
        <v>202111</v>
      </c>
      <c r="C325">
        <v>17200</v>
      </c>
      <c r="D325" t="s">
        <v>64</v>
      </c>
      <c r="E325" t="s">
        <v>63</v>
      </c>
      <c r="F325" t="s">
        <v>63</v>
      </c>
      <c r="G325" t="s">
        <v>63</v>
      </c>
      <c r="H325" t="s">
        <v>63</v>
      </c>
      <c r="I325">
        <v>1000</v>
      </c>
      <c r="J325" t="s">
        <v>68</v>
      </c>
      <c r="K325" t="s">
        <v>68</v>
      </c>
      <c r="L325">
        <v>0</v>
      </c>
      <c r="M325">
        <v>0</v>
      </c>
      <c r="N325">
        <v>0</v>
      </c>
      <c r="O325">
        <v>780</v>
      </c>
      <c r="P325">
        <v>865</v>
      </c>
      <c r="Q325">
        <v>1010</v>
      </c>
      <c r="R325">
        <v>1180</v>
      </c>
      <c r="S325">
        <v>320</v>
      </c>
    </row>
    <row r="326" spans="1:19" x14ac:dyDescent="0.4">
      <c r="A326" t="s">
        <v>67</v>
      </c>
      <c r="B326">
        <v>202111</v>
      </c>
      <c r="C326">
        <v>17300</v>
      </c>
      <c r="D326" t="s">
        <v>62</v>
      </c>
      <c r="E326">
        <v>124</v>
      </c>
      <c r="F326">
        <v>134</v>
      </c>
      <c r="G326">
        <v>82</v>
      </c>
      <c r="H326">
        <v>82</v>
      </c>
      <c r="I326">
        <v>82</v>
      </c>
      <c r="J326" t="s">
        <v>86</v>
      </c>
      <c r="K326" t="s">
        <v>756</v>
      </c>
      <c r="L326">
        <v>43</v>
      </c>
      <c r="M326">
        <v>412</v>
      </c>
      <c r="N326">
        <v>455</v>
      </c>
      <c r="O326">
        <v>851</v>
      </c>
      <c r="P326">
        <v>80</v>
      </c>
      <c r="Q326">
        <v>86</v>
      </c>
      <c r="R326">
        <v>615</v>
      </c>
      <c r="S326">
        <v>82</v>
      </c>
    </row>
    <row r="327" spans="1:19" x14ac:dyDescent="0.4">
      <c r="A327" t="s">
        <v>67</v>
      </c>
      <c r="B327">
        <v>202111</v>
      </c>
      <c r="C327">
        <v>17300</v>
      </c>
      <c r="D327" t="s">
        <v>64</v>
      </c>
      <c r="E327" t="s">
        <v>63</v>
      </c>
      <c r="F327" t="s">
        <v>63</v>
      </c>
      <c r="G327" t="s">
        <v>63</v>
      </c>
      <c r="H327" t="s">
        <v>63</v>
      </c>
      <c r="I327">
        <v>1090</v>
      </c>
      <c r="J327" t="s">
        <v>68</v>
      </c>
      <c r="K327" t="s">
        <v>68</v>
      </c>
      <c r="L327">
        <v>2</v>
      </c>
      <c r="M327">
        <v>0</v>
      </c>
      <c r="N327">
        <v>2</v>
      </c>
      <c r="O327">
        <v>1343</v>
      </c>
      <c r="P327">
        <v>945</v>
      </c>
      <c r="Q327">
        <v>1090</v>
      </c>
      <c r="R327">
        <v>1250</v>
      </c>
      <c r="S327">
        <v>450</v>
      </c>
    </row>
    <row r="328" spans="1:19" x14ac:dyDescent="0.4">
      <c r="A328" t="s">
        <v>67</v>
      </c>
      <c r="B328">
        <v>202111</v>
      </c>
      <c r="C328">
        <v>17400</v>
      </c>
      <c r="D328" t="s">
        <v>62</v>
      </c>
      <c r="E328">
        <v>100</v>
      </c>
      <c r="F328">
        <v>113</v>
      </c>
      <c r="G328">
        <v>65</v>
      </c>
      <c r="H328">
        <v>65</v>
      </c>
      <c r="I328">
        <v>65</v>
      </c>
      <c r="J328" t="s">
        <v>249</v>
      </c>
      <c r="K328" t="s">
        <v>757</v>
      </c>
      <c r="L328">
        <v>91</v>
      </c>
      <c r="M328">
        <v>273</v>
      </c>
      <c r="N328">
        <v>364</v>
      </c>
      <c r="O328">
        <v>621</v>
      </c>
      <c r="P328">
        <v>65</v>
      </c>
      <c r="Q328">
        <v>73</v>
      </c>
      <c r="R328">
        <v>560</v>
      </c>
      <c r="S328">
        <v>65</v>
      </c>
    </row>
    <row r="329" spans="1:19" x14ac:dyDescent="0.4">
      <c r="A329" t="s">
        <v>67</v>
      </c>
      <c r="B329">
        <v>202111</v>
      </c>
      <c r="C329">
        <v>17400</v>
      </c>
      <c r="D329" t="s">
        <v>64</v>
      </c>
      <c r="E329">
        <v>1030</v>
      </c>
      <c r="F329">
        <v>1030</v>
      </c>
      <c r="G329">
        <v>1030</v>
      </c>
      <c r="H329">
        <v>1030</v>
      </c>
      <c r="I329">
        <v>1170</v>
      </c>
      <c r="J329" t="s">
        <v>220</v>
      </c>
      <c r="K329" t="s">
        <v>758</v>
      </c>
      <c r="L329">
        <v>1</v>
      </c>
      <c r="M329">
        <v>15</v>
      </c>
      <c r="N329">
        <v>16</v>
      </c>
      <c r="O329">
        <v>462</v>
      </c>
      <c r="P329">
        <v>1020</v>
      </c>
      <c r="Q329">
        <v>1180</v>
      </c>
      <c r="R329">
        <v>1190</v>
      </c>
      <c r="S329">
        <v>495</v>
      </c>
    </row>
    <row r="330" spans="1:19" x14ac:dyDescent="0.4">
      <c r="A330" t="s">
        <v>67</v>
      </c>
      <c r="B330">
        <v>202111</v>
      </c>
      <c r="C330">
        <v>17500</v>
      </c>
      <c r="D330" t="s">
        <v>62</v>
      </c>
      <c r="E330">
        <v>84</v>
      </c>
      <c r="F330">
        <v>92</v>
      </c>
      <c r="G330">
        <v>53</v>
      </c>
      <c r="H330">
        <v>53</v>
      </c>
      <c r="I330">
        <v>53</v>
      </c>
      <c r="J330" t="s">
        <v>113</v>
      </c>
      <c r="K330" t="s">
        <v>759</v>
      </c>
      <c r="L330">
        <v>82</v>
      </c>
      <c r="M330">
        <v>265</v>
      </c>
      <c r="N330">
        <v>347</v>
      </c>
      <c r="O330">
        <v>894</v>
      </c>
      <c r="P330">
        <v>51</v>
      </c>
      <c r="Q330">
        <v>58</v>
      </c>
      <c r="R330">
        <v>525</v>
      </c>
      <c r="S330">
        <v>53</v>
      </c>
    </row>
    <row r="331" spans="1:19" x14ac:dyDescent="0.4">
      <c r="A331" t="s">
        <v>67</v>
      </c>
      <c r="B331">
        <v>202111</v>
      </c>
      <c r="C331">
        <v>17500</v>
      </c>
      <c r="D331" t="s">
        <v>64</v>
      </c>
      <c r="E331" t="s">
        <v>63</v>
      </c>
      <c r="F331" t="s">
        <v>63</v>
      </c>
      <c r="G331" t="s">
        <v>63</v>
      </c>
      <c r="H331" t="s">
        <v>63</v>
      </c>
      <c r="I331">
        <v>1260</v>
      </c>
      <c r="J331" t="s">
        <v>68</v>
      </c>
      <c r="K331" t="s">
        <v>68</v>
      </c>
      <c r="L331">
        <v>0</v>
      </c>
      <c r="M331">
        <v>0</v>
      </c>
      <c r="N331">
        <v>0</v>
      </c>
      <c r="O331">
        <v>24</v>
      </c>
      <c r="P331">
        <v>1090</v>
      </c>
      <c r="Q331">
        <v>1380</v>
      </c>
      <c r="R331">
        <v>1350</v>
      </c>
      <c r="S331">
        <v>414</v>
      </c>
    </row>
    <row r="332" spans="1:19" x14ac:dyDescent="0.4">
      <c r="A332" t="s">
        <v>67</v>
      </c>
      <c r="B332">
        <v>202111</v>
      </c>
      <c r="C332">
        <v>17600</v>
      </c>
      <c r="D332" t="s">
        <v>62</v>
      </c>
      <c r="E332">
        <v>65</v>
      </c>
      <c r="F332">
        <v>74</v>
      </c>
      <c r="G332">
        <v>42</v>
      </c>
      <c r="H332">
        <v>42</v>
      </c>
      <c r="I332">
        <v>42</v>
      </c>
      <c r="J332" t="s">
        <v>147</v>
      </c>
      <c r="K332" t="s">
        <v>760</v>
      </c>
      <c r="L332">
        <v>55</v>
      </c>
      <c r="M332">
        <v>300</v>
      </c>
      <c r="N332">
        <v>355</v>
      </c>
      <c r="O332">
        <v>1002</v>
      </c>
      <c r="P332">
        <v>40</v>
      </c>
      <c r="Q332">
        <v>45.5</v>
      </c>
      <c r="R332">
        <v>457</v>
      </c>
      <c r="S332">
        <v>42</v>
      </c>
    </row>
    <row r="333" spans="1:19" x14ac:dyDescent="0.4">
      <c r="A333" t="s">
        <v>67</v>
      </c>
      <c r="B333">
        <v>202111</v>
      </c>
      <c r="C333">
        <v>17600</v>
      </c>
      <c r="D333" t="s">
        <v>64</v>
      </c>
      <c r="E333" t="s">
        <v>63</v>
      </c>
      <c r="F333" t="s">
        <v>63</v>
      </c>
      <c r="G333" t="s">
        <v>63</v>
      </c>
      <c r="H333" t="s">
        <v>63</v>
      </c>
      <c r="I333">
        <v>1350</v>
      </c>
      <c r="J333" t="s">
        <v>68</v>
      </c>
      <c r="K333" t="s">
        <v>68</v>
      </c>
      <c r="L333">
        <v>0</v>
      </c>
      <c r="M333">
        <v>0</v>
      </c>
      <c r="N333">
        <v>0</v>
      </c>
      <c r="O333">
        <v>8</v>
      </c>
      <c r="P333">
        <v>1210</v>
      </c>
      <c r="Q333">
        <v>1470</v>
      </c>
      <c r="R333">
        <v>1170</v>
      </c>
      <c r="S333">
        <v>600</v>
      </c>
    </row>
    <row r="334" spans="1:19" x14ac:dyDescent="0.4">
      <c r="A334" t="s">
        <v>67</v>
      </c>
      <c r="B334">
        <v>202111</v>
      </c>
      <c r="C334">
        <v>17700</v>
      </c>
      <c r="D334" t="s">
        <v>62</v>
      </c>
      <c r="E334">
        <v>56</v>
      </c>
      <c r="F334">
        <v>58</v>
      </c>
      <c r="G334">
        <v>34.5</v>
      </c>
      <c r="H334">
        <v>34.5</v>
      </c>
      <c r="I334">
        <v>34.5</v>
      </c>
      <c r="J334" t="s">
        <v>318</v>
      </c>
      <c r="K334" t="s">
        <v>761</v>
      </c>
      <c r="L334">
        <v>18</v>
      </c>
      <c r="M334">
        <v>226</v>
      </c>
      <c r="N334">
        <v>244</v>
      </c>
      <c r="O334">
        <v>1109</v>
      </c>
      <c r="P334">
        <v>33</v>
      </c>
      <c r="Q334">
        <v>34</v>
      </c>
      <c r="R334">
        <v>398</v>
      </c>
      <c r="S334">
        <v>34.5</v>
      </c>
    </row>
    <row r="335" spans="1:19" x14ac:dyDescent="0.4">
      <c r="A335" t="s">
        <v>67</v>
      </c>
      <c r="B335">
        <v>202111</v>
      </c>
      <c r="C335">
        <v>17700</v>
      </c>
      <c r="D335" t="s">
        <v>64</v>
      </c>
      <c r="E335" t="s">
        <v>63</v>
      </c>
      <c r="F335" t="s">
        <v>63</v>
      </c>
      <c r="G335" t="s">
        <v>63</v>
      </c>
      <c r="H335" t="s">
        <v>63</v>
      </c>
      <c r="I335">
        <v>1440</v>
      </c>
      <c r="J335" t="s">
        <v>68</v>
      </c>
      <c r="K335" t="s">
        <v>68</v>
      </c>
      <c r="L335">
        <v>0</v>
      </c>
      <c r="M335">
        <v>0</v>
      </c>
      <c r="N335">
        <v>0</v>
      </c>
      <c r="O335">
        <v>7</v>
      </c>
      <c r="P335">
        <v>1260</v>
      </c>
      <c r="Q335">
        <v>1570</v>
      </c>
      <c r="R335">
        <v>1460</v>
      </c>
      <c r="S335">
        <v>690</v>
      </c>
    </row>
    <row r="336" spans="1:19" x14ac:dyDescent="0.4">
      <c r="A336" t="s">
        <v>67</v>
      </c>
      <c r="B336">
        <v>202111</v>
      </c>
      <c r="C336">
        <v>17800</v>
      </c>
      <c r="D336" t="s">
        <v>62</v>
      </c>
      <c r="E336">
        <v>43</v>
      </c>
      <c r="F336">
        <v>49</v>
      </c>
      <c r="G336">
        <v>27.5</v>
      </c>
      <c r="H336">
        <v>27.5</v>
      </c>
      <c r="I336">
        <v>27.5</v>
      </c>
      <c r="J336" t="s">
        <v>92</v>
      </c>
      <c r="K336" t="s">
        <v>762</v>
      </c>
      <c r="L336">
        <v>49</v>
      </c>
      <c r="M336">
        <v>161</v>
      </c>
      <c r="N336">
        <v>210</v>
      </c>
      <c r="O336">
        <v>602</v>
      </c>
      <c r="P336">
        <v>26.5</v>
      </c>
      <c r="Q336">
        <v>27.5</v>
      </c>
      <c r="R336">
        <v>362</v>
      </c>
      <c r="S336">
        <v>27.5</v>
      </c>
    </row>
    <row r="337" spans="1:19" x14ac:dyDescent="0.4">
      <c r="A337" t="s">
        <v>67</v>
      </c>
      <c r="B337">
        <v>202111</v>
      </c>
      <c r="C337">
        <v>17800</v>
      </c>
      <c r="D337" t="s">
        <v>64</v>
      </c>
      <c r="E337" t="s">
        <v>63</v>
      </c>
      <c r="F337" t="s">
        <v>63</v>
      </c>
      <c r="G337" t="s">
        <v>63</v>
      </c>
      <c r="H337" t="s">
        <v>63</v>
      </c>
      <c r="I337">
        <v>1530</v>
      </c>
      <c r="J337" t="s">
        <v>68</v>
      </c>
      <c r="K337" t="s">
        <v>68</v>
      </c>
      <c r="L337">
        <v>0</v>
      </c>
      <c r="M337">
        <v>0</v>
      </c>
      <c r="N337">
        <v>0</v>
      </c>
      <c r="O337">
        <v>2</v>
      </c>
      <c r="P337">
        <v>1380</v>
      </c>
      <c r="Q337">
        <v>1630</v>
      </c>
      <c r="R337">
        <v>1420</v>
      </c>
      <c r="S337">
        <v>715</v>
      </c>
    </row>
    <row r="338" spans="1:19" x14ac:dyDescent="0.4">
      <c r="A338" t="s">
        <v>67</v>
      </c>
      <c r="B338">
        <v>202111</v>
      </c>
      <c r="C338">
        <v>17900</v>
      </c>
      <c r="D338" t="s">
        <v>62</v>
      </c>
      <c r="E338">
        <v>34</v>
      </c>
      <c r="F338">
        <v>39</v>
      </c>
      <c r="G338">
        <v>23</v>
      </c>
      <c r="H338">
        <v>23</v>
      </c>
      <c r="I338">
        <v>23</v>
      </c>
      <c r="J338" t="s">
        <v>463</v>
      </c>
      <c r="K338" t="s">
        <v>763</v>
      </c>
      <c r="L338">
        <v>9</v>
      </c>
      <c r="M338">
        <v>150</v>
      </c>
      <c r="N338">
        <v>159</v>
      </c>
      <c r="O338">
        <v>408</v>
      </c>
      <c r="P338">
        <v>22</v>
      </c>
      <c r="Q338">
        <v>28.5</v>
      </c>
      <c r="R338">
        <v>311</v>
      </c>
      <c r="S338">
        <v>23</v>
      </c>
    </row>
    <row r="339" spans="1:19" x14ac:dyDescent="0.4">
      <c r="A339" t="s">
        <v>67</v>
      </c>
      <c r="B339">
        <v>202111</v>
      </c>
      <c r="C339">
        <v>17900</v>
      </c>
      <c r="D339" t="s">
        <v>64</v>
      </c>
      <c r="E339" t="s">
        <v>63</v>
      </c>
      <c r="F339" t="s">
        <v>63</v>
      </c>
      <c r="G339" t="s">
        <v>63</v>
      </c>
      <c r="H339" t="s">
        <v>63</v>
      </c>
      <c r="I339">
        <v>1630</v>
      </c>
      <c r="J339" t="s">
        <v>68</v>
      </c>
      <c r="K339" t="s">
        <v>68</v>
      </c>
      <c r="L339">
        <v>0</v>
      </c>
      <c r="M339">
        <v>0</v>
      </c>
      <c r="N339">
        <v>0</v>
      </c>
      <c r="O339">
        <v>11</v>
      </c>
      <c r="P339">
        <v>1480</v>
      </c>
      <c r="Q339">
        <v>1730</v>
      </c>
      <c r="R339">
        <v>1640</v>
      </c>
      <c r="S339">
        <v>820</v>
      </c>
    </row>
    <row r="340" spans="1:19" x14ac:dyDescent="0.4">
      <c r="A340" t="s">
        <v>67</v>
      </c>
      <c r="B340">
        <v>202111</v>
      </c>
      <c r="C340">
        <v>18000</v>
      </c>
      <c r="D340" t="s">
        <v>62</v>
      </c>
      <c r="E340">
        <v>29</v>
      </c>
      <c r="F340">
        <v>32.5</v>
      </c>
      <c r="G340">
        <v>18.5</v>
      </c>
      <c r="H340">
        <v>19</v>
      </c>
      <c r="I340">
        <v>19</v>
      </c>
      <c r="J340" t="s">
        <v>273</v>
      </c>
      <c r="K340" t="s">
        <v>764</v>
      </c>
      <c r="L340">
        <v>44</v>
      </c>
      <c r="M340">
        <v>506</v>
      </c>
      <c r="N340">
        <v>550</v>
      </c>
      <c r="O340">
        <v>1674</v>
      </c>
      <c r="P340">
        <v>18</v>
      </c>
      <c r="Q340">
        <v>19</v>
      </c>
      <c r="R340">
        <v>300</v>
      </c>
      <c r="S340">
        <v>18.5</v>
      </c>
    </row>
    <row r="341" spans="1:19" x14ac:dyDescent="0.4">
      <c r="A341" t="s">
        <v>67</v>
      </c>
      <c r="B341">
        <v>202111</v>
      </c>
      <c r="C341">
        <v>18000</v>
      </c>
      <c r="D341" t="s">
        <v>64</v>
      </c>
      <c r="E341" t="s">
        <v>63</v>
      </c>
      <c r="F341" t="s">
        <v>63</v>
      </c>
      <c r="G341" t="s">
        <v>63</v>
      </c>
      <c r="H341" t="s">
        <v>63</v>
      </c>
      <c r="I341">
        <v>1720</v>
      </c>
      <c r="J341" t="s">
        <v>68</v>
      </c>
      <c r="K341" t="s">
        <v>68</v>
      </c>
      <c r="L341">
        <v>0</v>
      </c>
      <c r="M341">
        <v>0</v>
      </c>
      <c r="N341">
        <v>0</v>
      </c>
      <c r="O341">
        <v>3</v>
      </c>
      <c r="P341">
        <v>1510</v>
      </c>
      <c r="Q341">
        <v>1820</v>
      </c>
      <c r="R341">
        <v>1500</v>
      </c>
      <c r="S341">
        <v>860</v>
      </c>
    </row>
    <row r="342" spans="1:19" x14ac:dyDescent="0.4">
      <c r="A342" t="s">
        <v>67</v>
      </c>
      <c r="B342">
        <v>202111</v>
      </c>
      <c r="C342">
        <v>18100</v>
      </c>
      <c r="D342" t="s">
        <v>62</v>
      </c>
      <c r="E342">
        <v>25</v>
      </c>
      <c r="F342">
        <v>25</v>
      </c>
      <c r="G342">
        <v>15</v>
      </c>
      <c r="H342">
        <v>15</v>
      </c>
      <c r="I342">
        <v>15</v>
      </c>
      <c r="J342" t="s">
        <v>77</v>
      </c>
      <c r="K342" t="s">
        <v>124</v>
      </c>
      <c r="L342">
        <v>34</v>
      </c>
      <c r="M342">
        <v>179</v>
      </c>
      <c r="N342">
        <v>213</v>
      </c>
      <c r="O342">
        <v>520</v>
      </c>
      <c r="P342">
        <v>15</v>
      </c>
      <c r="Q342">
        <v>16</v>
      </c>
      <c r="R342">
        <v>268</v>
      </c>
      <c r="S342">
        <v>15</v>
      </c>
    </row>
    <row r="343" spans="1:19" x14ac:dyDescent="0.4">
      <c r="A343" t="s">
        <v>67</v>
      </c>
      <c r="B343">
        <v>202111</v>
      </c>
      <c r="C343">
        <v>18100</v>
      </c>
      <c r="D343" t="s">
        <v>64</v>
      </c>
      <c r="E343" t="s">
        <v>63</v>
      </c>
      <c r="F343" t="s">
        <v>63</v>
      </c>
      <c r="G343" t="s">
        <v>63</v>
      </c>
      <c r="H343" t="s">
        <v>63</v>
      </c>
      <c r="I343">
        <v>1820</v>
      </c>
      <c r="J343" t="s">
        <v>68</v>
      </c>
      <c r="K343" t="s">
        <v>68</v>
      </c>
      <c r="L343">
        <v>0</v>
      </c>
      <c r="M343">
        <v>0</v>
      </c>
      <c r="N343">
        <v>0</v>
      </c>
      <c r="O343">
        <v>3</v>
      </c>
      <c r="P343">
        <v>1630</v>
      </c>
      <c r="Q343">
        <v>1920</v>
      </c>
      <c r="R343">
        <v>1460</v>
      </c>
      <c r="S343">
        <v>995</v>
      </c>
    </row>
    <row r="344" spans="1:19" x14ac:dyDescent="0.4">
      <c r="A344" t="s">
        <v>67</v>
      </c>
      <c r="B344">
        <v>202111</v>
      </c>
      <c r="C344">
        <v>18200</v>
      </c>
      <c r="D344" t="s">
        <v>62</v>
      </c>
      <c r="E344">
        <v>20</v>
      </c>
      <c r="F344">
        <v>20.5</v>
      </c>
      <c r="G344">
        <v>12</v>
      </c>
      <c r="H344">
        <v>13</v>
      </c>
      <c r="I344">
        <v>13</v>
      </c>
      <c r="J344" t="s">
        <v>135</v>
      </c>
      <c r="K344" t="s">
        <v>765</v>
      </c>
      <c r="L344">
        <v>3</v>
      </c>
      <c r="M344">
        <v>129</v>
      </c>
      <c r="N344">
        <v>132</v>
      </c>
      <c r="O344">
        <v>364</v>
      </c>
      <c r="P344">
        <v>12</v>
      </c>
      <c r="Q344">
        <v>13</v>
      </c>
      <c r="R344">
        <v>220</v>
      </c>
      <c r="S344">
        <v>12</v>
      </c>
    </row>
    <row r="345" spans="1:19" x14ac:dyDescent="0.4">
      <c r="A345" t="s">
        <v>67</v>
      </c>
      <c r="B345">
        <v>202111</v>
      </c>
      <c r="C345">
        <v>18200</v>
      </c>
      <c r="D345" t="s">
        <v>64</v>
      </c>
      <c r="E345" t="s">
        <v>63</v>
      </c>
      <c r="F345" t="s">
        <v>63</v>
      </c>
      <c r="G345" t="s">
        <v>63</v>
      </c>
      <c r="H345" t="s">
        <v>63</v>
      </c>
      <c r="I345">
        <v>1920</v>
      </c>
      <c r="J345" t="s">
        <v>68</v>
      </c>
      <c r="K345" t="s">
        <v>68</v>
      </c>
      <c r="L345">
        <v>0</v>
      </c>
      <c r="M345">
        <v>0</v>
      </c>
      <c r="N345">
        <v>0</v>
      </c>
      <c r="O345">
        <v>0</v>
      </c>
      <c r="P345">
        <v>1730</v>
      </c>
      <c r="Q345">
        <v>2020</v>
      </c>
      <c r="R345" t="s">
        <v>63</v>
      </c>
      <c r="S345" t="s">
        <v>63</v>
      </c>
    </row>
    <row r="346" spans="1:19" x14ac:dyDescent="0.4">
      <c r="A346" t="s">
        <v>67</v>
      </c>
      <c r="B346">
        <v>202111</v>
      </c>
      <c r="C346">
        <v>18300</v>
      </c>
      <c r="D346" t="s">
        <v>62</v>
      </c>
      <c r="E346">
        <v>16</v>
      </c>
      <c r="F346">
        <v>16</v>
      </c>
      <c r="G346">
        <v>10</v>
      </c>
      <c r="H346">
        <v>10</v>
      </c>
      <c r="I346">
        <v>10</v>
      </c>
      <c r="J346" t="s">
        <v>246</v>
      </c>
      <c r="K346" t="s">
        <v>766</v>
      </c>
      <c r="L346">
        <v>0</v>
      </c>
      <c r="M346">
        <v>23</v>
      </c>
      <c r="N346">
        <v>23</v>
      </c>
      <c r="O346">
        <v>393</v>
      </c>
      <c r="P346">
        <v>9.8000000000000007</v>
      </c>
      <c r="Q346">
        <v>10.5</v>
      </c>
      <c r="R346">
        <v>189</v>
      </c>
      <c r="S346">
        <v>10</v>
      </c>
    </row>
    <row r="347" spans="1:19" x14ac:dyDescent="0.4">
      <c r="A347" t="s">
        <v>67</v>
      </c>
      <c r="B347">
        <v>202111</v>
      </c>
      <c r="C347">
        <v>18300</v>
      </c>
      <c r="D347" t="s">
        <v>64</v>
      </c>
      <c r="E347" t="s">
        <v>63</v>
      </c>
      <c r="F347" t="s">
        <v>63</v>
      </c>
      <c r="G347" t="s">
        <v>63</v>
      </c>
      <c r="H347" t="s">
        <v>63</v>
      </c>
      <c r="I347">
        <v>2010</v>
      </c>
      <c r="J347" t="s">
        <v>68</v>
      </c>
      <c r="K347" t="s">
        <v>68</v>
      </c>
      <c r="L347">
        <v>0</v>
      </c>
      <c r="M347">
        <v>0</v>
      </c>
      <c r="N347">
        <v>0</v>
      </c>
      <c r="O347">
        <v>0</v>
      </c>
      <c r="P347">
        <v>1800</v>
      </c>
      <c r="Q347">
        <v>2120</v>
      </c>
      <c r="R347" t="s">
        <v>63</v>
      </c>
      <c r="S347" t="s">
        <v>63</v>
      </c>
    </row>
    <row r="348" spans="1:19" x14ac:dyDescent="0.4">
      <c r="A348" t="s">
        <v>67</v>
      </c>
      <c r="B348">
        <v>202111</v>
      </c>
      <c r="C348">
        <v>18400</v>
      </c>
      <c r="D348" t="s">
        <v>62</v>
      </c>
      <c r="E348">
        <v>14</v>
      </c>
      <c r="F348">
        <v>14</v>
      </c>
      <c r="G348">
        <v>8.9</v>
      </c>
      <c r="H348">
        <v>9.4</v>
      </c>
      <c r="I348">
        <v>8.5</v>
      </c>
      <c r="J348" t="s">
        <v>99</v>
      </c>
      <c r="K348" t="s">
        <v>767</v>
      </c>
      <c r="L348">
        <v>1</v>
      </c>
      <c r="M348">
        <v>10</v>
      </c>
      <c r="N348">
        <v>11</v>
      </c>
      <c r="O348">
        <v>232</v>
      </c>
      <c r="P348">
        <v>3</v>
      </c>
      <c r="Q348">
        <v>9.3000000000000007</v>
      </c>
      <c r="R348">
        <v>161</v>
      </c>
      <c r="S348">
        <v>8.9</v>
      </c>
    </row>
    <row r="349" spans="1:19" x14ac:dyDescent="0.4">
      <c r="A349" t="s">
        <v>67</v>
      </c>
      <c r="B349">
        <v>202111</v>
      </c>
      <c r="C349">
        <v>18400</v>
      </c>
      <c r="D349" t="s">
        <v>64</v>
      </c>
      <c r="E349">
        <v>1900</v>
      </c>
      <c r="F349">
        <v>2030</v>
      </c>
      <c r="G349">
        <v>1900</v>
      </c>
      <c r="H349">
        <v>2030</v>
      </c>
      <c r="I349">
        <v>2110</v>
      </c>
      <c r="J349" t="s">
        <v>275</v>
      </c>
      <c r="K349" t="s">
        <v>768</v>
      </c>
      <c r="L349">
        <v>0</v>
      </c>
      <c r="M349">
        <v>120</v>
      </c>
      <c r="N349">
        <v>120</v>
      </c>
      <c r="O349">
        <v>120</v>
      </c>
      <c r="P349">
        <v>1900</v>
      </c>
      <c r="Q349">
        <v>2120</v>
      </c>
      <c r="R349">
        <v>2030</v>
      </c>
      <c r="S349">
        <v>1900</v>
      </c>
    </row>
    <row r="350" spans="1:19" x14ac:dyDescent="0.4">
      <c r="A350" t="s">
        <v>67</v>
      </c>
      <c r="B350">
        <v>202111</v>
      </c>
      <c r="C350">
        <v>18500</v>
      </c>
      <c r="D350" t="s">
        <v>62</v>
      </c>
      <c r="E350">
        <v>8</v>
      </c>
      <c r="F350">
        <v>9.9</v>
      </c>
      <c r="G350">
        <v>7.5</v>
      </c>
      <c r="H350">
        <v>9.3000000000000007</v>
      </c>
      <c r="I350">
        <v>8.3000000000000007</v>
      </c>
      <c r="J350" t="s">
        <v>258</v>
      </c>
      <c r="K350" t="s">
        <v>769</v>
      </c>
      <c r="L350">
        <v>14</v>
      </c>
      <c r="M350">
        <v>54</v>
      </c>
      <c r="N350">
        <v>68</v>
      </c>
      <c r="O350">
        <v>292</v>
      </c>
      <c r="P350">
        <v>7</v>
      </c>
      <c r="Q350">
        <v>7.6</v>
      </c>
      <c r="R350">
        <v>142</v>
      </c>
      <c r="S350">
        <v>1.7</v>
      </c>
    </row>
    <row r="351" spans="1:19" x14ac:dyDescent="0.4">
      <c r="A351" t="s">
        <v>67</v>
      </c>
      <c r="B351">
        <v>202111</v>
      </c>
      <c r="C351">
        <v>18500</v>
      </c>
      <c r="D351" t="s">
        <v>64</v>
      </c>
      <c r="E351" t="s">
        <v>63</v>
      </c>
      <c r="F351" t="s">
        <v>63</v>
      </c>
      <c r="G351" t="s">
        <v>63</v>
      </c>
      <c r="H351" t="s">
        <v>63</v>
      </c>
      <c r="I351">
        <v>2210</v>
      </c>
      <c r="J351" t="s">
        <v>68</v>
      </c>
      <c r="K351" t="s">
        <v>68</v>
      </c>
      <c r="L351">
        <v>0</v>
      </c>
      <c r="M351">
        <v>0</v>
      </c>
      <c r="N351">
        <v>0</v>
      </c>
      <c r="O351">
        <v>0</v>
      </c>
      <c r="P351">
        <v>2000</v>
      </c>
      <c r="Q351">
        <v>2310</v>
      </c>
      <c r="R351" t="s">
        <v>63</v>
      </c>
      <c r="S351" t="s">
        <v>63</v>
      </c>
    </row>
    <row r="352" spans="1:19" x14ac:dyDescent="0.4">
      <c r="A352" t="s">
        <v>67</v>
      </c>
      <c r="B352">
        <v>202111</v>
      </c>
      <c r="C352">
        <v>18600</v>
      </c>
      <c r="D352" t="s">
        <v>62</v>
      </c>
      <c r="E352">
        <v>8.1</v>
      </c>
      <c r="F352">
        <v>8.1</v>
      </c>
      <c r="G352">
        <v>6.4</v>
      </c>
      <c r="H352">
        <v>8.1</v>
      </c>
      <c r="I352">
        <v>8.1</v>
      </c>
      <c r="J352" t="s">
        <v>121</v>
      </c>
      <c r="K352" t="s">
        <v>770</v>
      </c>
      <c r="L352">
        <v>1</v>
      </c>
      <c r="M352">
        <v>24</v>
      </c>
      <c r="N352">
        <v>25</v>
      </c>
      <c r="O352">
        <v>543</v>
      </c>
      <c r="P352">
        <v>6.1</v>
      </c>
      <c r="Q352">
        <v>8</v>
      </c>
      <c r="R352">
        <v>129</v>
      </c>
      <c r="S352">
        <v>6.4</v>
      </c>
    </row>
    <row r="353" spans="1:19" x14ac:dyDescent="0.4">
      <c r="A353" t="s">
        <v>67</v>
      </c>
      <c r="B353">
        <v>202111</v>
      </c>
      <c r="C353">
        <v>18600</v>
      </c>
      <c r="D353" t="s">
        <v>64</v>
      </c>
      <c r="E353" t="s">
        <v>63</v>
      </c>
      <c r="F353" t="s">
        <v>63</v>
      </c>
      <c r="G353" t="s">
        <v>63</v>
      </c>
      <c r="H353" t="s">
        <v>63</v>
      </c>
      <c r="I353">
        <v>2310</v>
      </c>
      <c r="J353" t="s">
        <v>68</v>
      </c>
      <c r="K353" t="s">
        <v>68</v>
      </c>
      <c r="L353">
        <v>0</v>
      </c>
      <c r="M353">
        <v>0</v>
      </c>
      <c r="N353">
        <v>0</v>
      </c>
      <c r="O353">
        <v>0</v>
      </c>
      <c r="P353">
        <v>2100</v>
      </c>
      <c r="Q353">
        <v>2410</v>
      </c>
      <c r="R353" t="s">
        <v>63</v>
      </c>
      <c r="S353" t="s">
        <v>63</v>
      </c>
    </row>
    <row r="354" spans="1:19" x14ac:dyDescent="0.4">
      <c r="A354" t="s">
        <v>67</v>
      </c>
      <c r="B354">
        <v>202111</v>
      </c>
      <c r="C354">
        <v>18700</v>
      </c>
      <c r="D354" t="s">
        <v>62</v>
      </c>
      <c r="E354">
        <v>6.3</v>
      </c>
      <c r="F354">
        <v>6.3</v>
      </c>
      <c r="G354">
        <v>6.3</v>
      </c>
      <c r="H354">
        <v>6.3</v>
      </c>
      <c r="I354">
        <v>7.9</v>
      </c>
      <c r="J354" t="s">
        <v>102</v>
      </c>
      <c r="K354" t="s">
        <v>771</v>
      </c>
      <c r="L354">
        <v>3</v>
      </c>
      <c r="M354">
        <v>1</v>
      </c>
      <c r="N354">
        <v>4</v>
      </c>
      <c r="O354">
        <v>61</v>
      </c>
      <c r="P354">
        <v>5.0999999999999996</v>
      </c>
      <c r="Q354">
        <v>8</v>
      </c>
      <c r="R354">
        <v>105</v>
      </c>
      <c r="S354">
        <v>6.3</v>
      </c>
    </row>
    <row r="355" spans="1:19" x14ac:dyDescent="0.4">
      <c r="A355" t="s">
        <v>67</v>
      </c>
      <c r="B355">
        <v>202111</v>
      </c>
      <c r="C355">
        <v>18700</v>
      </c>
      <c r="D355" t="s">
        <v>64</v>
      </c>
      <c r="E355" t="s">
        <v>63</v>
      </c>
      <c r="F355" t="s">
        <v>63</v>
      </c>
      <c r="G355" t="s">
        <v>63</v>
      </c>
      <c r="H355" t="s">
        <v>63</v>
      </c>
      <c r="I355">
        <v>2410</v>
      </c>
      <c r="J355" t="s">
        <v>68</v>
      </c>
      <c r="K355" t="s">
        <v>68</v>
      </c>
      <c r="L355">
        <v>0</v>
      </c>
      <c r="M355">
        <v>0</v>
      </c>
      <c r="N355">
        <v>0</v>
      </c>
      <c r="O355">
        <v>0</v>
      </c>
      <c r="P355">
        <v>2200</v>
      </c>
      <c r="Q355">
        <v>2510</v>
      </c>
      <c r="R355" t="s">
        <v>63</v>
      </c>
      <c r="S355" t="s">
        <v>63</v>
      </c>
    </row>
    <row r="356" spans="1:19" x14ac:dyDescent="0.4">
      <c r="A356" t="s">
        <v>67</v>
      </c>
      <c r="B356">
        <v>202111</v>
      </c>
      <c r="C356">
        <v>18800</v>
      </c>
      <c r="D356" t="s">
        <v>62</v>
      </c>
      <c r="E356">
        <v>6.9</v>
      </c>
      <c r="F356">
        <v>6.9</v>
      </c>
      <c r="G356">
        <v>6.9</v>
      </c>
      <c r="H356">
        <v>6.9</v>
      </c>
      <c r="I356">
        <v>7.8</v>
      </c>
      <c r="J356" t="s">
        <v>126</v>
      </c>
      <c r="K356" t="s">
        <v>772</v>
      </c>
      <c r="L356">
        <v>0</v>
      </c>
      <c r="M356">
        <v>1</v>
      </c>
      <c r="N356">
        <v>1</v>
      </c>
      <c r="O356">
        <v>128</v>
      </c>
      <c r="P356">
        <v>4.5999999999999996</v>
      </c>
      <c r="Q356">
        <v>67</v>
      </c>
      <c r="R356">
        <v>67</v>
      </c>
      <c r="S356">
        <v>3.5</v>
      </c>
    </row>
    <row r="357" spans="1:19" x14ac:dyDescent="0.4">
      <c r="A357" t="s">
        <v>67</v>
      </c>
      <c r="B357">
        <v>202111</v>
      </c>
      <c r="C357">
        <v>18800</v>
      </c>
      <c r="D357" t="s">
        <v>64</v>
      </c>
      <c r="E357" t="s">
        <v>63</v>
      </c>
      <c r="F357" t="s">
        <v>63</v>
      </c>
      <c r="G357" t="s">
        <v>63</v>
      </c>
      <c r="H357" t="s">
        <v>63</v>
      </c>
      <c r="I357">
        <v>2510</v>
      </c>
      <c r="J357" t="s">
        <v>68</v>
      </c>
      <c r="K357" t="s">
        <v>68</v>
      </c>
      <c r="L357">
        <v>0</v>
      </c>
      <c r="M357">
        <v>0</v>
      </c>
      <c r="N357">
        <v>0</v>
      </c>
      <c r="O357">
        <v>0</v>
      </c>
      <c r="P357">
        <v>2300</v>
      </c>
      <c r="Q357">
        <v>2610</v>
      </c>
      <c r="R357" t="s">
        <v>63</v>
      </c>
      <c r="S357" t="s">
        <v>63</v>
      </c>
    </row>
    <row r="358" spans="1:19" x14ac:dyDescent="0.4">
      <c r="A358" t="s">
        <v>67</v>
      </c>
      <c r="B358">
        <v>202111</v>
      </c>
      <c r="C358">
        <v>18900</v>
      </c>
      <c r="D358" t="s">
        <v>62</v>
      </c>
      <c r="E358">
        <v>4.0999999999999996</v>
      </c>
      <c r="F358">
        <v>7.7</v>
      </c>
      <c r="G358">
        <v>4.0999999999999996</v>
      </c>
      <c r="H358">
        <v>7.7</v>
      </c>
      <c r="I358">
        <v>7.7</v>
      </c>
      <c r="J358" t="s">
        <v>773</v>
      </c>
      <c r="K358" t="s">
        <v>774</v>
      </c>
      <c r="L358">
        <v>0</v>
      </c>
      <c r="M358">
        <v>2</v>
      </c>
      <c r="N358">
        <v>2</v>
      </c>
      <c r="O358">
        <v>50</v>
      </c>
      <c r="P358">
        <v>3.6</v>
      </c>
      <c r="Q358">
        <v>143</v>
      </c>
      <c r="R358">
        <v>84</v>
      </c>
      <c r="S358">
        <v>3</v>
      </c>
    </row>
    <row r="359" spans="1:19" x14ac:dyDescent="0.4">
      <c r="A359" t="s">
        <v>67</v>
      </c>
      <c r="B359">
        <v>202111</v>
      </c>
      <c r="C359">
        <v>18900</v>
      </c>
      <c r="D359" t="s">
        <v>64</v>
      </c>
      <c r="E359" t="s">
        <v>63</v>
      </c>
      <c r="F359" t="s">
        <v>63</v>
      </c>
      <c r="G359" t="s">
        <v>63</v>
      </c>
      <c r="H359" t="s">
        <v>63</v>
      </c>
      <c r="I359">
        <v>2610</v>
      </c>
      <c r="J359" t="s">
        <v>68</v>
      </c>
      <c r="K359" t="s">
        <v>68</v>
      </c>
      <c r="L359">
        <v>0</v>
      </c>
      <c r="M359">
        <v>0</v>
      </c>
      <c r="N359">
        <v>0</v>
      </c>
      <c r="O359">
        <v>0</v>
      </c>
      <c r="P359">
        <v>2400</v>
      </c>
      <c r="Q359">
        <v>2710</v>
      </c>
      <c r="R359" t="s">
        <v>63</v>
      </c>
      <c r="S359" t="s">
        <v>63</v>
      </c>
    </row>
    <row r="360" spans="1:19" x14ac:dyDescent="0.4">
      <c r="A360" t="s">
        <v>67</v>
      </c>
      <c r="B360">
        <v>202111</v>
      </c>
      <c r="C360">
        <v>19000</v>
      </c>
      <c r="D360" t="s">
        <v>62</v>
      </c>
      <c r="E360" t="s">
        <v>63</v>
      </c>
      <c r="F360" t="s">
        <v>63</v>
      </c>
      <c r="G360" t="s">
        <v>63</v>
      </c>
      <c r="H360" t="s">
        <v>63</v>
      </c>
      <c r="I360">
        <v>6.4</v>
      </c>
      <c r="J360" t="s">
        <v>68</v>
      </c>
      <c r="K360" t="s">
        <v>68</v>
      </c>
      <c r="L360">
        <v>0</v>
      </c>
      <c r="M360">
        <v>0</v>
      </c>
      <c r="N360">
        <v>0</v>
      </c>
      <c r="O360">
        <v>214</v>
      </c>
      <c r="P360">
        <v>2</v>
      </c>
      <c r="Q360">
        <v>100</v>
      </c>
      <c r="R360">
        <v>71</v>
      </c>
      <c r="S360">
        <v>2.9</v>
      </c>
    </row>
    <row r="361" spans="1:19" x14ac:dyDescent="0.4">
      <c r="A361" t="s">
        <v>67</v>
      </c>
      <c r="B361">
        <v>202111</v>
      </c>
      <c r="C361">
        <v>19000</v>
      </c>
      <c r="D361" t="s">
        <v>64</v>
      </c>
      <c r="E361" t="s">
        <v>63</v>
      </c>
      <c r="F361" t="s">
        <v>63</v>
      </c>
      <c r="G361" t="s">
        <v>63</v>
      </c>
      <c r="H361" t="s">
        <v>63</v>
      </c>
      <c r="I361">
        <v>2710</v>
      </c>
      <c r="J361" t="s">
        <v>68</v>
      </c>
      <c r="K361" t="s">
        <v>68</v>
      </c>
      <c r="L361">
        <v>0</v>
      </c>
      <c r="M361">
        <v>0</v>
      </c>
      <c r="N361">
        <v>0</v>
      </c>
      <c r="O361">
        <v>0</v>
      </c>
      <c r="P361">
        <v>2500</v>
      </c>
      <c r="Q361">
        <v>2810</v>
      </c>
      <c r="R361" t="s">
        <v>63</v>
      </c>
      <c r="S361" t="s">
        <v>63</v>
      </c>
    </row>
    <row r="362" spans="1:19" x14ac:dyDescent="0.4">
      <c r="A362" t="s">
        <v>67</v>
      </c>
      <c r="B362">
        <v>202111</v>
      </c>
      <c r="C362">
        <v>19100</v>
      </c>
      <c r="D362" t="s">
        <v>62</v>
      </c>
      <c r="E362">
        <v>3.3</v>
      </c>
      <c r="F362">
        <v>4.5</v>
      </c>
      <c r="G362">
        <v>3.3</v>
      </c>
      <c r="H362">
        <v>4.5</v>
      </c>
      <c r="I362">
        <v>4.5</v>
      </c>
      <c r="J362" t="s">
        <v>474</v>
      </c>
      <c r="K362" t="s">
        <v>307</v>
      </c>
      <c r="L362">
        <v>2</v>
      </c>
      <c r="M362">
        <v>5</v>
      </c>
      <c r="N362">
        <v>7</v>
      </c>
      <c r="O362">
        <v>64</v>
      </c>
      <c r="P362">
        <v>0.2</v>
      </c>
      <c r="Q362">
        <v>10</v>
      </c>
      <c r="R362">
        <v>171</v>
      </c>
      <c r="S362">
        <v>3.3</v>
      </c>
    </row>
    <row r="363" spans="1:19" x14ac:dyDescent="0.4">
      <c r="A363" t="s">
        <v>67</v>
      </c>
      <c r="B363">
        <v>202111</v>
      </c>
      <c r="C363">
        <v>19100</v>
      </c>
      <c r="D363" t="s">
        <v>64</v>
      </c>
      <c r="E363" t="s">
        <v>63</v>
      </c>
      <c r="F363" t="s">
        <v>63</v>
      </c>
      <c r="G363" t="s">
        <v>63</v>
      </c>
      <c r="H363" t="s">
        <v>63</v>
      </c>
      <c r="I363">
        <v>2810</v>
      </c>
      <c r="J363" t="s">
        <v>68</v>
      </c>
      <c r="K363" t="s">
        <v>68</v>
      </c>
      <c r="L363">
        <v>0</v>
      </c>
      <c r="M363">
        <v>0</v>
      </c>
      <c r="N363">
        <v>0</v>
      </c>
      <c r="O363">
        <v>0</v>
      </c>
      <c r="P363">
        <v>2600</v>
      </c>
      <c r="Q363">
        <v>2910</v>
      </c>
      <c r="R363" t="s">
        <v>63</v>
      </c>
      <c r="S363" t="s">
        <v>63</v>
      </c>
    </row>
    <row r="364" spans="1:19" x14ac:dyDescent="0.4">
      <c r="A364" t="s">
        <v>67</v>
      </c>
      <c r="B364">
        <v>202111</v>
      </c>
      <c r="C364">
        <v>19200</v>
      </c>
      <c r="D364" t="s">
        <v>62</v>
      </c>
      <c r="E364" t="s">
        <v>63</v>
      </c>
      <c r="F364" t="s">
        <v>63</v>
      </c>
      <c r="G364" t="s">
        <v>63</v>
      </c>
      <c r="H364" t="s">
        <v>63</v>
      </c>
      <c r="I364">
        <v>4.3</v>
      </c>
      <c r="J364" t="s">
        <v>68</v>
      </c>
      <c r="K364" t="s">
        <v>68</v>
      </c>
      <c r="L364">
        <v>1</v>
      </c>
      <c r="M364">
        <v>0</v>
      </c>
      <c r="N364">
        <v>1</v>
      </c>
      <c r="O364">
        <v>82</v>
      </c>
      <c r="P364">
        <v>0.8</v>
      </c>
      <c r="Q364">
        <v>133</v>
      </c>
      <c r="R364">
        <v>49</v>
      </c>
      <c r="S364">
        <v>3.1</v>
      </c>
    </row>
    <row r="365" spans="1:19" x14ac:dyDescent="0.4">
      <c r="A365" t="s">
        <v>67</v>
      </c>
      <c r="B365">
        <v>202111</v>
      </c>
      <c r="C365">
        <v>19200</v>
      </c>
      <c r="D365" t="s">
        <v>64</v>
      </c>
      <c r="E365" t="s">
        <v>63</v>
      </c>
      <c r="F365" t="s">
        <v>63</v>
      </c>
      <c r="G365" t="s">
        <v>63</v>
      </c>
      <c r="H365" t="s">
        <v>63</v>
      </c>
      <c r="I365">
        <v>2910</v>
      </c>
      <c r="J365" t="s">
        <v>68</v>
      </c>
      <c r="K365" t="s">
        <v>68</v>
      </c>
      <c r="L365">
        <v>0</v>
      </c>
      <c r="M365">
        <v>0</v>
      </c>
      <c r="N365">
        <v>0</v>
      </c>
      <c r="O365">
        <v>0</v>
      </c>
      <c r="P365">
        <v>2700</v>
      </c>
      <c r="Q365">
        <v>3010</v>
      </c>
      <c r="R365" t="s">
        <v>63</v>
      </c>
      <c r="S365" t="s">
        <v>63</v>
      </c>
    </row>
    <row r="366" spans="1:19" x14ac:dyDescent="0.4">
      <c r="A366" t="s">
        <v>67</v>
      </c>
      <c r="B366">
        <v>202111</v>
      </c>
      <c r="C366">
        <v>19300</v>
      </c>
      <c r="D366" t="s">
        <v>62</v>
      </c>
      <c r="E366" t="s">
        <v>63</v>
      </c>
      <c r="F366" t="s">
        <v>63</v>
      </c>
      <c r="G366" t="s">
        <v>63</v>
      </c>
      <c r="H366" t="s">
        <v>63</v>
      </c>
      <c r="I366">
        <v>3</v>
      </c>
      <c r="J366" t="s">
        <v>68</v>
      </c>
      <c r="K366" t="s">
        <v>68</v>
      </c>
      <c r="L366">
        <v>0</v>
      </c>
      <c r="M366">
        <v>0</v>
      </c>
      <c r="N366">
        <v>0</v>
      </c>
      <c r="O366">
        <v>7</v>
      </c>
      <c r="P366">
        <v>0.2</v>
      </c>
      <c r="Q366">
        <v>3</v>
      </c>
      <c r="R366">
        <v>45</v>
      </c>
      <c r="S366">
        <v>2.7</v>
      </c>
    </row>
    <row r="367" spans="1:19" x14ac:dyDescent="0.4">
      <c r="A367" t="s">
        <v>67</v>
      </c>
      <c r="B367">
        <v>202111</v>
      </c>
      <c r="C367">
        <v>19300</v>
      </c>
      <c r="D367" t="s">
        <v>64</v>
      </c>
      <c r="E367" t="s">
        <v>63</v>
      </c>
      <c r="F367" t="s">
        <v>63</v>
      </c>
      <c r="G367" t="s">
        <v>63</v>
      </c>
      <c r="H367" t="s">
        <v>63</v>
      </c>
      <c r="I367">
        <v>3010</v>
      </c>
      <c r="J367" t="s">
        <v>68</v>
      </c>
      <c r="K367" t="s">
        <v>68</v>
      </c>
      <c r="L367">
        <v>0</v>
      </c>
      <c r="M367">
        <v>0</v>
      </c>
      <c r="N367">
        <v>0</v>
      </c>
      <c r="O367">
        <v>0</v>
      </c>
      <c r="P367">
        <v>2800</v>
      </c>
      <c r="Q367">
        <v>3110</v>
      </c>
      <c r="R367" t="s">
        <v>63</v>
      </c>
      <c r="S367" t="s">
        <v>63</v>
      </c>
    </row>
    <row r="368" spans="1:19" x14ac:dyDescent="0.4">
      <c r="A368" t="s">
        <v>67</v>
      </c>
      <c r="B368">
        <v>202111</v>
      </c>
      <c r="C368">
        <v>19400</v>
      </c>
      <c r="D368" t="s">
        <v>62</v>
      </c>
      <c r="E368">
        <v>2</v>
      </c>
      <c r="F368">
        <v>2</v>
      </c>
      <c r="G368">
        <v>2</v>
      </c>
      <c r="H368">
        <v>2</v>
      </c>
      <c r="I368">
        <v>2</v>
      </c>
      <c r="J368" t="s">
        <v>107</v>
      </c>
      <c r="K368" t="s">
        <v>123</v>
      </c>
      <c r="L368">
        <v>1</v>
      </c>
      <c r="M368">
        <v>31</v>
      </c>
      <c r="N368">
        <v>32</v>
      </c>
      <c r="O368">
        <v>52</v>
      </c>
      <c r="P368" t="s">
        <v>63</v>
      </c>
      <c r="Q368">
        <v>2</v>
      </c>
      <c r="R368">
        <v>42</v>
      </c>
      <c r="S368">
        <v>2</v>
      </c>
    </row>
    <row r="369" spans="1:19" x14ac:dyDescent="0.4">
      <c r="A369" t="s">
        <v>67</v>
      </c>
      <c r="B369">
        <v>202111</v>
      </c>
      <c r="C369">
        <v>19400</v>
      </c>
      <c r="D369" t="s">
        <v>64</v>
      </c>
      <c r="E369" t="s">
        <v>63</v>
      </c>
      <c r="F369" t="s">
        <v>63</v>
      </c>
      <c r="G369" t="s">
        <v>63</v>
      </c>
      <c r="H369" t="s">
        <v>63</v>
      </c>
      <c r="I369">
        <v>3110</v>
      </c>
      <c r="J369" t="s">
        <v>68</v>
      </c>
      <c r="K369" t="s">
        <v>68</v>
      </c>
      <c r="L369">
        <v>0</v>
      </c>
      <c r="M369">
        <v>0</v>
      </c>
      <c r="N369">
        <v>0</v>
      </c>
      <c r="O369">
        <v>0</v>
      </c>
      <c r="P369">
        <v>2900</v>
      </c>
      <c r="Q369">
        <v>3210</v>
      </c>
      <c r="R369" t="s">
        <v>63</v>
      </c>
      <c r="S369" t="s">
        <v>63</v>
      </c>
    </row>
    <row r="370" spans="1:19" x14ac:dyDescent="0.4">
      <c r="A370" t="s">
        <v>67</v>
      </c>
      <c r="B370">
        <v>202111</v>
      </c>
      <c r="C370">
        <v>19500</v>
      </c>
      <c r="D370" t="s">
        <v>62</v>
      </c>
      <c r="E370" t="s">
        <v>63</v>
      </c>
      <c r="F370" t="s">
        <v>63</v>
      </c>
      <c r="G370" t="s">
        <v>63</v>
      </c>
      <c r="H370" t="s">
        <v>63</v>
      </c>
      <c r="I370">
        <v>2</v>
      </c>
      <c r="J370" t="s">
        <v>68</v>
      </c>
      <c r="K370" t="s">
        <v>68</v>
      </c>
      <c r="L370">
        <v>0</v>
      </c>
      <c r="M370">
        <v>0</v>
      </c>
      <c r="N370">
        <v>0</v>
      </c>
      <c r="O370">
        <v>192</v>
      </c>
      <c r="P370">
        <v>1.1000000000000001</v>
      </c>
      <c r="Q370">
        <v>2</v>
      </c>
      <c r="R370">
        <v>26</v>
      </c>
      <c r="S370">
        <v>1.1000000000000001</v>
      </c>
    </row>
    <row r="371" spans="1:19" x14ac:dyDescent="0.4">
      <c r="A371" t="s">
        <v>67</v>
      </c>
      <c r="B371">
        <v>202111</v>
      </c>
      <c r="C371">
        <v>19500</v>
      </c>
      <c r="D371" t="s">
        <v>64</v>
      </c>
      <c r="E371" t="s">
        <v>63</v>
      </c>
      <c r="F371" t="s">
        <v>63</v>
      </c>
      <c r="G371" t="s">
        <v>63</v>
      </c>
      <c r="H371" t="s">
        <v>63</v>
      </c>
      <c r="I371">
        <v>3210</v>
      </c>
      <c r="J371" t="s">
        <v>68</v>
      </c>
      <c r="K371" t="s">
        <v>68</v>
      </c>
      <c r="L371">
        <v>0</v>
      </c>
      <c r="M371">
        <v>0</v>
      </c>
      <c r="N371">
        <v>0</v>
      </c>
      <c r="O371">
        <v>0</v>
      </c>
      <c r="P371">
        <v>3000</v>
      </c>
      <c r="Q371">
        <v>3310</v>
      </c>
      <c r="R371" t="s">
        <v>63</v>
      </c>
      <c r="S371" t="s">
        <v>63</v>
      </c>
    </row>
    <row r="372" spans="1:19" x14ac:dyDescent="0.4">
      <c r="A372" t="s">
        <v>67</v>
      </c>
      <c r="B372">
        <v>202111</v>
      </c>
      <c r="C372">
        <v>19600</v>
      </c>
      <c r="D372" t="s">
        <v>62</v>
      </c>
      <c r="E372">
        <v>0.7</v>
      </c>
      <c r="F372">
        <v>1.9</v>
      </c>
      <c r="G372">
        <v>0.7</v>
      </c>
      <c r="H372">
        <v>1.8</v>
      </c>
      <c r="I372">
        <v>1.8</v>
      </c>
      <c r="J372" t="s">
        <v>69</v>
      </c>
      <c r="K372" t="s">
        <v>406</v>
      </c>
      <c r="L372">
        <v>0</v>
      </c>
      <c r="M372">
        <v>21</v>
      </c>
      <c r="N372">
        <v>21</v>
      </c>
      <c r="O372">
        <v>94</v>
      </c>
      <c r="P372" t="s">
        <v>63</v>
      </c>
      <c r="Q372">
        <v>1.8</v>
      </c>
      <c r="R372">
        <v>32</v>
      </c>
      <c r="S372">
        <v>0.7</v>
      </c>
    </row>
    <row r="373" spans="1:19" x14ac:dyDescent="0.4">
      <c r="A373" t="s">
        <v>67</v>
      </c>
      <c r="B373">
        <v>202111</v>
      </c>
      <c r="C373">
        <v>19600</v>
      </c>
      <c r="D373" t="s">
        <v>64</v>
      </c>
      <c r="E373" t="s">
        <v>63</v>
      </c>
      <c r="F373" t="s">
        <v>63</v>
      </c>
      <c r="G373" t="s">
        <v>63</v>
      </c>
      <c r="H373" t="s">
        <v>63</v>
      </c>
      <c r="I373">
        <v>3310</v>
      </c>
      <c r="J373" t="s">
        <v>68</v>
      </c>
      <c r="K373" t="s">
        <v>68</v>
      </c>
      <c r="L373">
        <v>0</v>
      </c>
      <c r="M373">
        <v>0</v>
      </c>
      <c r="N373">
        <v>0</v>
      </c>
      <c r="O373">
        <v>0</v>
      </c>
      <c r="P373">
        <v>3100</v>
      </c>
      <c r="Q373">
        <v>3410</v>
      </c>
      <c r="R373" t="s">
        <v>63</v>
      </c>
      <c r="S373" t="s">
        <v>63</v>
      </c>
    </row>
    <row r="374" spans="1:19" x14ac:dyDescent="0.4">
      <c r="A374" t="s">
        <v>67</v>
      </c>
      <c r="B374">
        <v>202111</v>
      </c>
      <c r="C374">
        <v>19700</v>
      </c>
      <c r="D374" t="s">
        <v>62</v>
      </c>
      <c r="E374" t="s">
        <v>63</v>
      </c>
      <c r="F374" t="s">
        <v>63</v>
      </c>
      <c r="G374" t="s">
        <v>63</v>
      </c>
      <c r="H374" t="s">
        <v>63</v>
      </c>
      <c r="I374">
        <v>1.6</v>
      </c>
      <c r="J374" t="s">
        <v>68</v>
      </c>
      <c r="K374" t="s">
        <v>68</v>
      </c>
      <c r="L374">
        <v>0</v>
      </c>
      <c r="M374">
        <v>0</v>
      </c>
      <c r="N374">
        <v>0</v>
      </c>
      <c r="O374">
        <v>409</v>
      </c>
      <c r="P374" t="s">
        <v>63</v>
      </c>
      <c r="Q374">
        <v>1.6</v>
      </c>
      <c r="R374">
        <v>101</v>
      </c>
      <c r="S374">
        <v>0.1</v>
      </c>
    </row>
    <row r="375" spans="1:19" x14ac:dyDescent="0.4">
      <c r="A375" t="s">
        <v>67</v>
      </c>
      <c r="B375">
        <v>202111</v>
      </c>
      <c r="C375">
        <v>19700</v>
      </c>
      <c r="D375" t="s">
        <v>64</v>
      </c>
      <c r="E375" t="s">
        <v>63</v>
      </c>
      <c r="F375" t="s">
        <v>63</v>
      </c>
      <c r="G375" t="s">
        <v>63</v>
      </c>
      <c r="H375" t="s">
        <v>63</v>
      </c>
      <c r="I375">
        <v>3400</v>
      </c>
      <c r="J375" t="s">
        <v>68</v>
      </c>
      <c r="K375" t="s">
        <v>68</v>
      </c>
      <c r="L375">
        <v>0</v>
      </c>
      <c r="M375">
        <v>0</v>
      </c>
      <c r="N375">
        <v>0</v>
      </c>
      <c r="O375">
        <v>0</v>
      </c>
      <c r="P375">
        <v>3200</v>
      </c>
      <c r="Q375">
        <v>3510</v>
      </c>
      <c r="R375" t="s">
        <v>63</v>
      </c>
      <c r="S375" t="s">
        <v>63</v>
      </c>
    </row>
    <row r="376" spans="1:19" x14ac:dyDescent="0.4">
      <c r="A376" t="s">
        <v>67</v>
      </c>
      <c r="B376">
        <v>202111</v>
      </c>
      <c r="C376">
        <v>19800</v>
      </c>
      <c r="D376" t="s">
        <v>62</v>
      </c>
      <c r="E376" t="s">
        <v>63</v>
      </c>
      <c r="F376" t="s">
        <v>63</v>
      </c>
      <c r="G376" t="s">
        <v>63</v>
      </c>
      <c r="H376" t="s">
        <v>63</v>
      </c>
      <c r="I376">
        <v>1.3</v>
      </c>
      <c r="J376" t="s">
        <v>68</v>
      </c>
      <c r="K376" t="s">
        <v>68</v>
      </c>
      <c r="L376">
        <v>0</v>
      </c>
      <c r="M376">
        <v>0</v>
      </c>
      <c r="N376">
        <v>0</v>
      </c>
      <c r="O376">
        <v>412</v>
      </c>
      <c r="P376" t="s">
        <v>63</v>
      </c>
      <c r="Q376">
        <v>1.5</v>
      </c>
      <c r="R376">
        <v>21</v>
      </c>
      <c r="S376">
        <v>1.1000000000000001</v>
      </c>
    </row>
    <row r="377" spans="1:19" x14ac:dyDescent="0.4">
      <c r="A377" t="s">
        <v>67</v>
      </c>
      <c r="B377">
        <v>202111</v>
      </c>
      <c r="C377">
        <v>19800</v>
      </c>
      <c r="D377" t="s">
        <v>64</v>
      </c>
      <c r="E377" t="s">
        <v>63</v>
      </c>
      <c r="F377" t="s">
        <v>63</v>
      </c>
      <c r="G377" t="s">
        <v>63</v>
      </c>
      <c r="H377" t="s">
        <v>63</v>
      </c>
      <c r="I377">
        <v>3500</v>
      </c>
      <c r="J377" t="s">
        <v>68</v>
      </c>
      <c r="K377" t="s">
        <v>68</v>
      </c>
      <c r="L377">
        <v>0</v>
      </c>
      <c r="M377">
        <v>0</v>
      </c>
      <c r="N377">
        <v>0</v>
      </c>
      <c r="O377">
        <v>0</v>
      </c>
      <c r="P377">
        <v>3300</v>
      </c>
      <c r="Q377">
        <v>3610</v>
      </c>
      <c r="R377" t="s">
        <v>63</v>
      </c>
      <c r="S377" t="s">
        <v>63</v>
      </c>
    </row>
    <row r="378" spans="1:19" x14ac:dyDescent="0.4">
      <c r="A378" t="s">
        <v>67</v>
      </c>
      <c r="B378">
        <v>202111</v>
      </c>
      <c r="C378">
        <v>19900</v>
      </c>
      <c r="D378" t="s">
        <v>62</v>
      </c>
      <c r="E378" t="s">
        <v>63</v>
      </c>
      <c r="F378" t="s">
        <v>63</v>
      </c>
      <c r="G378" t="s">
        <v>63</v>
      </c>
      <c r="H378" t="s">
        <v>63</v>
      </c>
      <c r="I378">
        <v>1.1000000000000001</v>
      </c>
      <c r="J378" t="s">
        <v>68</v>
      </c>
      <c r="K378" t="s">
        <v>68</v>
      </c>
      <c r="L378">
        <v>0</v>
      </c>
      <c r="M378">
        <v>0</v>
      </c>
      <c r="N378">
        <v>0</v>
      </c>
      <c r="O378">
        <v>413</v>
      </c>
      <c r="P378" t="s">
        <v>63</v>
      </c>
      <c r="Q378">
        <v>1.2</v>
      </c>
      <c r="R378">
        <v>18.5</v>
      </c>
      <c r="S378">
        <v>1</v>
      </c>
    </row>
    <row r="379" spans="1:19" x14ac:dyDescent="0.4">
      <c r="A379" t="s">
        <v>67</v>
      </c>
      <c r="B379">
        <v>202111</v>
      </c>
      <c r="C379">
        <v>19900</v>
      </c>
      <c r="D379" t="s">
        <v>64</v>
      </c>
      <c r="E379" t="s">
        <v>63</v>
      </c>
      <c r="F379" t="s">
        <v>63</v>
      </c>
      <c r="G379" t="s">
        <v>63</v>
      </c>
      <c r="H379" t="s">
        <v>63</v>
      </c>
      <c r="I379">
        <v>3600</v>
      </c>
      <c r="J379" t="s">
        <v>68</v>
      </c>
      <c r="K379" t="s">
        <v>68</v>
      </c>
      <c r="L379">
        <v>0</v>
      </c>
      <c r="M379">
        <v>0</v>
      </c>
      <c r="N379">
        <v>0</v>
      </c>
      <c r="O379">
        <v>0</v>
      </c>
      <c r="P379">
        <v>3400</v>
      </c>
      <c r="Q379">
        <v>3710</v>
      </c>
      <c r="R379" t="s">
        <v>63</v>
      </c>
      <c r="S379" t="s">
        <v>63</v>
      </c>
    </row>
    <row r="380" spans="1:19" x14ac:dyDescent="0.4">
      <c r="A380" t="s">
        <v>67</v>
      </c>
      <c r="B380">
        <v>202111</v>
      </c>
      <c r="C380">
        <v>20000</v>
      </c>
      <c r="D380" t="s">
        <v>62</v>
      </c>
      <c r="E380">
        <v>1</v>
      </c>
      <c r="F380">
        <v>1</v>
      </c>
      <c r="G380">
        <v>1</v>
      </c>
      <c r="H380">
        <v>1</v>
      </c>
      <c r="I380">
        <v>1</v>
      </c>
      <c r="J380" t="s">
        <v>69</v>
      </c>
      <c r="K380" t="s">
        <v>280</v>
      </c>
      <c r="L380">
        <v>0</v>
      </c>
      <c r="M380">
        <v>1</v>
      </c>
      <c r="N380">
        <v>1</v>
      </c>
      <c r="O380">
        <v>954</v>
      </c>
      <c r="P380">
        <v>0.2</v>
      </c>
      <c r="Q380">
        <v>1.1000000000000001</v>
      </c>
      <c r="R380">
        <v>22</v>
      </c>
      <c r="S380">
        <v>0.6</v>
      </c>
    </row>
    <row r="381" spans="1:19" x14ac:dyDescent="0.4">
      <c r="A381" t="s">
        <v>67</v>
      </c>
      <c r="B381">
        <v>202111</v>
      </c>
      <c r="C381">
        <v>20000</v>
      </c>
      <c r="D381" t="s">
        <v>64</v>
      </c>
      <c r="E381" t="s">
        <v>63</v>
      </c>
      <c r="F381" t="s">
        <v>63</v>
      </c>
      <c r="G381" t="s">
        <v>63</v>
      </c>
      <c r="H381" t="s">
        <v>63</v>
      </c>
      <c r="I381">
        <v>3700</v>
      </c>
      <c r="J381" t="s">
        <v>68</v>
      </c>
      <c r="K381" t="s">
        <v>68</v>
      </c>
      <c r="L381">
        <v>0</v>
      </c>
      <c r="M381">
        <v>0</v>
      </c>
      <c r="N381">
        <v>0</v>
      </c>
      <c r="O381">
        <v>0</v>
      </c>
      <c r="P381">
        <v>3500</v>
      </c>
      <c r="Q381">
        <v>3810</v>
      </c>
      <c r="R381" t="s">
        <v>63</v>
      </c>
      <c r="S381" t="s">
        <v>63</v>
      </c>
    </row>
    <row r="382" spans="1:19" x14ac:dyDescent="0.4">
      <c r="A382" t="s">
        <v>67</v>
      </c>
      <c r="B382">
        <v>202111</v>
      </c>
      <c r="C382">
        <v>20100</v>
      </c>
      <c r="D382" t="s">
        <v>62</v>
      </c>
      <c r="E382">
        <v>0.9</v>
      </c>
      <c r="F382">
        <v>0.9</v>
      </c>
      <c r="G382">
        <v>0.7</v>
      </c>
      <c r="H382">
        <v>0.7</v>
      </c>
      <c r="I382">
        <v>0.7</v>
      </c>
      <c r="J382" t="s">
        <v>73</v>
      </c>
      <c r="K382" s="28">
        <v>0</v>
      </c>
      <c r="L382">
        <v>0</v>
      </c>
      <c r="M382">
        <v>240</v>
      </c>
      <c r="N382">
        <v>240</v>
      </c>
      <c r="O382">
        <v>809</v>
      </c>
      <c r="P382">
        <v>0.6</v>
      </c>
      <c r="Q382">
        <v>0.9</v>
      </c>
      <c r="R382">
        <v>23.5</v>
      </c>
      <c r="S382">
        <v>0.1</v>
      </c>
    </row>
    <row r="383" spans="1:19" x14ac:dyDescent="0.4">
      <c r="A383" t="s">
        <v>67</v>
      </c>
      <c r="B383">
        <v>202111</v>
      </c>
      <c r="C383">
        <v>20100</v>
      </c>
      <c r="D383" t="s">
        <v>64</v>
      </c>
      <c r="E383" t="s">
        <v>63</v>
      </c>
      <c r="F383" t="s">
        <v>63</v>
      </c>
      <c r="G383" t="s">
        <v>63</v>
      </c>
      <c r="H383" t="s">
        <v>63</v>
      </c>
      <c r="I383">
        <v>3800</v>
      </c>
      <c r="J383" t="s">
        <v>68</v>
      </c>
      <c r="K383" t="s">
        <v>68</v>
      </c>
      <c r="L383">
        <v>0</v>
      </c>
      <c r="M383">
        <v>0</v>
      </c>
      <c r="N383">
        <v>0</v>
      </c>
      <c r="O383">
        <v>0</v>
      </c>
      <c r="P383">
        <v>3600</v>
      </c>
      <c r="Q383">
        <v>3910</v>
      </c>
      <c r="R383" t="s">
        <v>63</v>
      </c>
      <c r="S383" t="s">
        <v>63</v>
      </c>
    </row>
    <row r="384" spans="1:19" x14ac:dyDescent="0.4">
      <c r="A384" t="s">
        <v>67</v>
      </c>
      <c r="B384">
        <v>202111</v>
      </c>
      <c r="C384">
        <v>20200</v>
      </c>
      <c r="D384" t="s">
        <v>62</v>
      </c>
      <c r="E384">
        <v>0.8</v>
      </c>
      <c r="F384">
        <v>1</v>
      </c>
      <c r="G384">
        <v>0.6</v>
      </c>
      <c r="H384">
        <v>0.6</v>
      </c>
      <c r="I384">
        <v>0.6</v>
      </c>
      <c r="J384" t="s">
        <v>73</v>
      </c>
      <c r="K384" s="28">
        <v>0</v>
      </c>
      <c r="L384">
        <v>0</v>
      </c>
      <c r="M384">
        <v>701</v>
      </c>
      <c r="N384">
        <v>701</v>
      </c>
      <c r="O384">
        <v>2048</v>
      </c>
      <c r="P384">
        <v>0.6</v>
      </c>
      <c r="Q384">
        <v>0.8</v>
      </c>
      <c r="R384">
        <v>16</v>
      </c>
      <c r="S384">
        <v>0.1</v>
      </c>
    </row>
    <row r="385" spans="1:19" x14ac:dyDescent="0.4">
      <c r="A385" t="s">
        <v>67</v>
      </c>
      <c r="B385">
        <v>202111</v>
      </c>
      <c r="C385">
        <v>20200</v>
      </c>
      <c r="D385" t="s">
        <v>64</v>
      </c>
      <c r="E385" t="s">
        <v>63</v>
      </c>
      <c r="F385" t="s">
        <v>63</v>
      </c>
      <c r="G385" t="s">
        <v>63</v>
      </c>
      <c r="H385" t="s">
        <v>63</v>
      </c>
      <c r="I385">
        <v>3900</v>
      </c>
      <c r="J385" t="s">
        <v>68</v>
      </c>
      <c r="K385" t="s">
        <v>68</v>
      </c>
      <c r="L385">
        <v>0</v>
      </c>
      <c r="M385">
        <v>0</v>
      </c>
      <c r="N385">
        <v>0</v>
      </c>
      <c r="O385">
        <v>1</v>
      </c>
      <c r="P385">
        <v>3700</v>
      </c>
      <c r="Q385">
        <v>4010</v>
      </c>
      <c r="R385">
        <v>3120</v>
      </c>
      <c r="S385">
        <v>3120</v>
      </c>
    </row>
    <row r="386" spans="1:19" x14ac:dyDescent="0.4">
      <c r="A386" t="s">
        <v>67</v>
      </c>
      <c r="B386">
        <v>202112</v>
      </c>
      <c r="C386">
        <v>12200</v>
      </c>
      <c r="D386" t="s">
        <v>62</v>
      </c>
      <c r="E386" t="s">
        <v>63</v>
      </c>
      <c r="F386" t="s">
        <v>63</v>
      </c>
      <c r="G386" t="s">
        <v>63</v>
      </c>
      <c r="H386" t="s">
        <v>63</v>
      </c>
      <c r="I386">
        <v>4100</v>
      </c>
      <c r="J386" t="s">
        <v>68</v>
      </c>
      <c r="K386" t="s">
        <v>68</v>
      </c>
      <c r="L386">
        <v>0</v>
      </c>
      <c r="M386">
        <v>0</v>
      </c>
      <c r="N386">
        <v>0</v>
      </c>
      <c r="O386">
        <v>16</v>
      </c>
      <c r="P386">
        <v>4000</v>
      </c>
      <c r="Q386">
        <v>4310</v>
      </c>
      <c r="R386">
        <v>5480</v>
      </c>
      <c r="S386">
        <v>4230</v>
      </c>
    </row>
    <row r="387" spans="1:19" x14ac:dyDescent="0.4">
      <c r="A387" t="s">
        <v>67</v>
      </c>
      <c r="B387">
        <v>202112</v>
      </c>
      <c r="C387">
        <v>12200</v>
      </c>
      <c r="D387" t="s">
        <v>64</v>
      </c>
      <c r="E387">
        <v>37</v>
      </c>
      <c r="F387">
        <v>39.5</v>
      </c>
      <c r="G387">
        <v>34</v>
      </c>
      <c r="H387">
        <v>38.5</v>
      </c>
      <c r="I387">
        <v>38.5</v>
      </c>
      <c r="J387" t="s">
        <v>95</v>
      </c>
      <c r="K387" t="s">
        <v>775</v>
      </c>
      <c r="L387">
        <v>30</v>
      </c>
      <c r="M387">
        <v>31</v>
      </c>
      <c r="N387">
        <v>61</v>
      </c>
      <c r="O387">
        <v>1078</v>
      </c>
      <c r="P387">
        <v>37</v>
      </c>
      <c r="Q387">
        <v>38</v>
      </c>
      <c r="R387">
        <v>415</v>
      </c>
      <c r="S387">
        <v>33.5</v>
      </c>
    </row>
    <row r="388" spans="1:19" x14ac:dyDescent="0.4">
      <c r="A388" t="s">
        <v>67</v>
      </c>
      <c r="B388">
        <v>202112</v>
      </c>
      <c r="C388">
        <v>12400</v>
      </c>
      <c r="D388" t="s">
        <v>62</v>
      </c>
      <c r="E388" t="s">
        <v>63</v>
      </c>
      <c r="F388" t="s">
        <v>63</v>
      </c>
      <c r="G388" t="s">
        <v>63</v>
      </c>
      <c r="H388" t="s">
        <v>63</v>
      </c>
      <c r="I388">
        <v>3910</v>
      </c>
      <c r="J388" t="s">
        <v>68</v>
      </c>
      <c r="K388" t="s">
        <v>68</v>
      </c>
      <c r="L388">
        <v>0</v>
      </c>
      <c r="M388">
        <v>0</v>
      </c>
      <c r="N388">
        <v>0</v>
      </c>
      <c r="O388">
        <v>1</v>
      </c>
      <c r="P388">
        <v>3800</v>
      </c>
      <c r="Q388">
        <v>4120</v>
      </c>
      <c r="R388">
        <v>4270</v>
      </c>
      <c r="S388">
        <v>4270</v>
      </c>
    </row>
    <row r="389" spans="1:19" x14ac:dyDescent="0.4">
      <c r="A389" t="s">
        <v>67</v>
      </c>
      <c r="B389">
        <v>202112</v>
      </c>
      <c r="C389">
        <v>12400</v>
      </c>
      <c r="D389" t="s">
        <v>64</v>
      </c>
      <c r="E389">
        <v>44.5</v>
      </c>
      <c r="F389">
        <v>44.5</v>
      </c>
      <c r="G389">
        <v>40</v>
      </c>
      <c r="H389">
        <v>40</v>
      </c>
      <c r="I389">
        <v>40</v>
      </c>
      <c r="J389" t="s">
        <v>130</v>
      </c>
      <c r="K389" t="s">
        <v>123</v>
      </c>
      <c r="L389">
        <v>2</v>
      </c>
      <c r="M389">
        <v>5</v>
      </c>
      <c r="N389">
        <v>7</v>
      </c>
      <c r="O389">
        <v>186</v>
      </c>
      <c r="P389">
        <v>40</v>
      </c>
      <c r="Q389">
        <v>50</v>
      </c>
      <c r="R389">
        <v>486</v>
      </c>
      <c r="S389">
        <v>37</v>
      </c>
    </row>
    <row r="390" spans="1:19" x14ac:dyDescent="0.4">
      <c r="A390" t="s">
        <v>67</v>
      </c>
      <c r="B390">
        <v>202112</v>
      </c>
      <c r="C390">
        <v>12600</v>
      </c>
      <c r="D390" t="s">
        <v>62</v>
      </c>
      <c r="E390" t="s">
        <v>63</v>
      </c>
      <c r="F390" t="s">
        <v>63</v>
      </c>
      <c r="G390" t="s">
        <v>63</v>
      </c>
      <c r="H390" t="s">
        <v>63</v>
      </c>
      <c r="I390">
        <v>3710</v>
      </c>
      <c r="J390" t="s">
        <v>68</v>
      </c>
      <c r="K390" t="s">
        <v>68</v>
      </c>
      <c r="L390">
        <v>0</v>
      </c>
      <c r="M390">
        <v>0</v>
      </c>
      <c r="N390">
        <v>0</v>
      </c>
      <c r="O390">
        <v>0</v>
      </c>
      <c r="P390">
        <v>3610</v>
      </c>
      <c r="Q390">
        <v>3920</v>
      </c>
      <c r="R390" t="s">
        <v>63</v>
      </c>
      <c r="S390" t="s">
        <v>63</v>
      </c>
    </row>
    <row r="391" spans="1:19" x14ac:dyDescent="0.4">
      <c r="A391" t="s">
        <v>67</v>
      </c>
      <c r="B391">
        <v>202112</v>
      </c>
      <c r="C391">
        <v>12600</v>
      </c>
      <c r="D391" t="s">
        <v>64</v>
      </c>
      <c r="E391" t="s">
        <v>63</v>
      </c>
      <c r="F391" t="s">
        <v>63</v>
      </c>
      <c r="G391" t="s">
        <v>63</v>
      </c>
      <c r="H391" t="s">
        <v>63</v>
      </c>
      <c r="I391">
        <v>46</v>
      </c>
      <c r="J391" t="s">
        <v>68</v>
      </c>
      <c r="K391" t="s">
        <v>68</v>
      </c>
      <c r="L391">
        <v>0</v>
      </c>
      <c r="M391">
        <v>0</v>
      </c>
      <c r="N391">
        <v>0</v>
      </c>
      <c r="O391">
        <v>58</v>
      </c>
      <c r="P391">
        <v>34</v>
      </c>
      <c r="Q391">
        <v>62</v>
      </c>
      <c r="R391">
        <v>470</v>
      </c>
      <c r="S391">
        <v>10</v>
      </c>
    </row>
    <row r="392" spans="1:19" x14ac:dyDescent="0.4">
      <c r="A392" t="s">
        <v>67</v>
      </c>
      <c r="B392">
        <v>202112</v>
      </c>
      <c r="C392">
        <v>12800</v>
      </c>
      <c r="D392" t="s">
        <v>62</v>
      </c>
      <c r="E392" t="s">
        <v>63</v>
      </c>
      <c r="F392" t="s">
        <v>63</v>
      </c>
      <c r="G392" t="s">
        <v>63</v>
      </c>
      <c r="H392" t="s">
        <v>63</v>
      </c>
      <c r="I392">
        <v>3520</v>
      </c>
      <c r="J392" t="s">
        <v>68</v>
      </c>
      <c r="K392" t="s">
        <v>68</v>
      </c>
      <c r="L392">
        <v>0</v>
      </c>
      <c r="M392">
        <v>0</v>
      </c>
      <c r="N392">
        <v>0</v>
      </c>
      <c r="O392">
        <v>4</v>
      </c>
      <c r="P392">
        <v>3410</v>
      </c>
      <c r="Q392">
        <v>3730</v>
      </c>
      <c r="R392">
        <v>3880</v>
      </c>
      <c r="S392">
        <v>3620</v>
      </c>
    </row>
    <row r="393" spans="1:19" x14ac:dyDescent="0.4">
      <c r="A393" t="s">
        <v>67</v>
      </c>
      <c r="B393">
        <v>202112</v>
      </c>
      <c r="C393">
        <v>12800</v>
      </c>
      <c r="D393" t="s">
        <v>64</v>
      </c>
      <c r="E393" t="s">
        <v>63</v>
      </c>
      <c r="F393" t="s">
        <v>63</v>
      </c>
      <c r="G393" t="s">
        <v>63</v>
      </c>
      <c r="H393" t="s">
        <v>63</v>
      </c>
      <c r="I393">
        <v>52</v>
      </c>
      <c r="J393" t="s">
        <v>68</v>
      </c>
      <c r="K393" t="s">
        <v>68</v>
      </c>
      <c r="L393">
        <v>0</v>
      </c>
      <c r="M393">
        <v>0</v>
      </c>
      <c r="N393">
        <v>0</v>
      </c>
      <c r="O393">
        <v>259</v>
      </c>
      <c r="P393">
        <v>39.5</v>
      </c>
      <c r="Q393">
        <v>62</v>
      </c>
      <c r="R393">
        <v>600</v>
      </c>
      <c r="S393">
        <v>40</v>
      </c>
    </row>
    <row r="394" spans="1:19" x14ac:dyDescent="0.4">
      <c r="A394" t="s">
        <v>67</v>
      </c>
      <c r="B394">
        <v>202112</v>
      </c>
      <c r="C394">
        <v>13000</v>
      </c>
      <c r="D394" t="s">
        <v>62</v>
      </c>
      <c r="E394" t="s">
        <v>63</v>
      </c>
      <c r="F394" t="s">
        <v>63</v>
      </c>
      <c r="G394" t="s">
        <v>63</v>
      </c>
      <c r="H394" t="s">
        <v>63</v>
      </c>
      <c r="I394">
        <v>3330</v>
      </c>
      <c r="J394" t="s">
        <v>68</v>
      </c>
      <c r="K394" t="s">
        <v>68</v>
      </c>
      <c r="L394">
        <v>0</v>
      </c>
      <c r="M394">
        <v>0</v>
      </c>
      <c r="N394">
        <v>0</v>
      </c>
      <c r="O394">
        <v>1</v>
      </c>
      <c r="P394">
        <v>3220</v>
      </c>
      <c r="Q394">
        <v>3540</v>
      </c>
      <c r="R394">
        <v>4210</v>
      </c>
      <c r="S394">
        <v>4210</v>
      </c>
    </row>
    <row r="395" spans="1:19" x14ac:dyDescent="0.4">
      <c r="A395" t="s">
        <v>67</v>
      </c>
      <c r="B395">
        <v>202112</v>
      </c>
      <c r="C395">
        <v>13000</v>
      </c>
      <c r="D395" t="s">
        <v>64</v>
      </c>
      <c r="E395">
        <v>57</v>
      </c>
      <c r="F395">
        <v>68</v>
      </c>
      <c r="G395">
        <v>56</v>
      </c>
      <c r="H395">
        <v>60</v>
      </c>
      <c r="I395">
        <v>60</v>
      </c>
      <c r="J395" t="s">
        <v>116</v>
      </c>
      <c r="K395" t="s">
        <v>288</v>
      </c>
      <c r="L395">
        <v>5</v>
      </c>
      <c r="M395">
        <v>27</v>
      </c>
      <c r="N395">
        <v>32</v>
      </c>
      <c r="O395">
        <v>310</v>
      </c>
      <c r="P395">
        <v>57</v>
      </c>
      <c r="Q395">
        <v>70</v>
      </c>
      <c r="R395">
        <v>700</v>
      </c>
      <c r="S395">
        <v>45</v>
      </c>
    </row>
    <row r="396" spans="1:19" x14ac:dyDescent="0.4">
      <c r="A396" t="s">
        <v>67</v>
      </c>
      <c r="B396">
        <v>202112</v>
      </c>
      <c r="C396">
        <v>13200</v>
      </c>
      <c r="D396" t="s">
        <v>62</v>
      </c>
      <c r="E396" t="s">
        <v>63</v>
      </c>
      <c r="F396" t="s">
        <v>63</v>
      </c>
      <c r="G396" t="s">
        <v>63</v>
      </c>
      <c r="H396" t="s">
        <v>63</v>
      </c>
      <c r="I396">
        <v>3140</v>
      </c>
      <c r="J396" t="s">
        <v>68</v>
      </c>
      <c r="K396" t="s">
        <v>68</v>
      </c>
      <c r="L396">
        <v>0</v>
      </c>
      <c r="M396">
        <v>0</v>
      </c>
      <c r="N396">
        <v>0</v>
      </c>
      <c r="O396">
        <v>0</v>
      </c>
      <c r="P396">
        <v>3030</v>
      </c>
      <c r="Q396">
        <v>3320</v>
      </c>
      <c r="R396" t="s">
        <v>63</v>
      </c>
      <c r="S396" t="s">
        <v>63</v>
      </c>
    </row>
    <row r="397" spans="1:19" x14ac:dyDescent="0.4">
      <c r="A397" t="s">
        <v>67</v>
      </c>
      <c r="B397">
        <v>202112</v>
      </c>
      <c r="C397">
        <v>13200</v>
      </c>
      <c r="D397" t="s">
        <v>64</v>
      </c>
      <c r="E397">
        <v>73</v>
      </c>
      <c r="F397">
        <v>73</v>
      </c>
      <c r="G397">
        <v>73</v>
      </c>
      <c r="H397">
        <v>73</v>
      </c>
      <c r="I397">
        <v>73</v>
      </c>
      <c r="J397" t="s">
        <v>130</v>
      </c>
      <c r="K397" t="s">
        <v>301</v>
      </c>
      <c r="L397">
        <v>0</v>
      </c>
      <c r="M397">
        <v>4</v>
      </c>
      <c r="N397">
        <v>4</v>
      </c>
      <c r="O397">
        <v>76</v>
      </c>
      <c r="P397">
        <v>57</v>
      </c>
      <c r="Q397">
        <v>87</v>
      </c>
      <c r="R397">
        <v>650</v>
      </c>
      <c r="S397">
        <v>52</v>
      </c>
    </row>
    <row r="398" spans="1:19" x14ac:dyDescent="0.4">
      <c r="A398" t="s">
        <v>67</v>
      </c>
      <c r="B398">
        <v>202112</v>
      </c>
      <c r="C398">
        <v>13400</v>
      </c>
      <c r="D398" t="s">
        <v>62</v>
      </c>
      <c r="E398" t="s">
        <v>63</v>
      </c>
      <c r="F398" t="s">
        <v>63</v>
      </c>
      <c r="G398" t="s">
        <v>63</v>
      </c>
      <c r="H398" t="s">
        <v>63</v>
      </c>
      <c r="I398">
        <v>2950</v>
      </c>
      <c r="J398" t="s">
        <v>68</v>
      </c>
      <c r="K398" t="s">
        <v>68</v>
      </c>
      <c r="L398">
        <v>0</v>
      </c>
      <c r="M398">
        <v>0</v>
      </c>
      <c r="N398">
        <v>0</v>
      </c>
      <c r="O398">
        <v>0</v>
      </c>
      <c r="P398">
        <v>2840</v>
      </c>
      <c r="Q398">
        <v>3130</v>
      </c>
      <c r="R398" t="s">
        <v>63</v>
      </c>
      <c r="S398" t="s">
        <v>63</v>
      </c>
    </row>
    <row r="399" spans="1:19" x14ac:dyDescent="0.4">
      <c r="A399" t="s">
        <v>67</v>
      </c>
      <c r="B399">
        <v>202112</v>
      </c>
      <c r="C399">
        <v>13400</v>
      </c>
      <c r="D399" t="s">
        <v>64</v>
      </c>
      <c r="E399" t="s">
        <v>63</v>
      </c>
      <c r="F399" t="s">
        <v>63</v>
      </c>
      <c r="G399" t="s">
        <v>63</v>
      </c>
      <c r="H399" t="s">
        <v>63</v>
      </c>
      <c r="I399">
        <v>83</v>
      </c>
      <c r="J399" t="s">
        <v>68</v>
      </c>
      <c r="K399" t="s">
        <v>68</v>
      </c>
      <c r="L399">
        <v>1</v>
      </c>
      <c r="M399">
        <v>0</v>
      </c>
      <c r="N399">
        <v>1</v>
      </c>
      <c r="O399">
        <v>73</v>
      </c>
      <c r="P399">
        <v>68</v>
      </c>
      <c r="Q399">
        <v>97</v>
      </c>
      <c r="R399">
        <v>381</v>
      </c>
      <c r="S399">
        <v>63</v>
      </c>
    </row>
    <row r="400" spans="1:19" x14ac:dyDescent="0.4">
      <c r="A400" t="s">
        <v>67</v>
      </c>
      <c r="B400">
        <v>202112</v>
      </c>
      <c r="C400">
        <v>13600</v>
      </c>
      <c r="D400" t="s">
        <v>62</v>
      </c>
      <c r="E400" t="s">
        <v>63</v>
      </c>
      <c r="F400" t="s">
        <v>63</v>
      </c>
      <c r="G400" t="s">
        <v>63</v>
      </c>
      <c r="H400" t="s">
        <v>63</v>
      </c>
      <c r="I400">
        <v>2760</v>
      </c>
      <c r="J400" t="s">
        <v>68</v>
      </c>
      <c r="K400" t="s">
        <v>68</v>
      </c>
      <c r="L400">
        <v>0</v>
      </c>
      <c r="M400">
        <v>0</v>
      </c>
      <c r="N400">
        <v>0</v>
      </c>
      <c r="O400">
        <v>0</v>
      </c>
      <c r="P400">
        <v>2650</v>
      </c>
      <c r="Q400">
        <v>2970</v>
      </c>
      <c r="R400" t="s">
        <v>63</v>
      </c>
      <c r="S400" t="s">
        <v>63</v>
      </c>
    </row>
    <row r="401" spans="1:19" x14ac:dyDescent="0.4">
      <c r="A401" t="s">
        <v>67</v>
      </c>
      <c r="B401">
        <v>202112</v>
      </c>
      <c r="C401">
        <v>13600</v>
      </c>
      <c r="D401" t="s">
        <v>64</v>
      </c>
      <c r="E401" t="s">
        <v>63</v>
      </c>
      <c r="F401" t="s">
        <v>63</v>
      </c>
      <c r="G401" t="s">
        <v>63</v>
      </c>
      <c r="H401" t="s">
        <v>63</v>
      </c>
      <c r="I401">
        <v>95</v>
      </c>
      <c r="J401" t="s">
        <v>68</v>
      </c>
      <c r="K401" t="s">
        <v>68</v>
      </c>
      <c r="L401">
        <v>0</v>
      </c>
      <c r="M401">
        <v>0</v>
      </c>
      <c r="N401">
        <v>0</v>
      </c>
      <c r="O401">
        <v>108</v>
      </c>
      <c r="P401">
        <v>34</v>
      </c>
      <c r="Q401">
        <v>96</v>
      </c>
      <c r="R401">
        <v>815</v>
      </c>
      <c r="S401">
        <v>13</v>
      </c>
    </row>
    <row r="402" spans="1:19" x14ac:dyDescent="0.4">
      <c r="A402" t="s">
        <v>67</v>
      </c>
      <c r="B402">
        <v>202112</v>
      </c>
      <c r="C402">
        <v>13800</v>
      </c>
      <c r="D402" t="s">
        <v>62</v>
      </c>
      <c r="E402" t="s">
        <v>63</v>
      </c>
      <c r="F402" t="s">
        <v>63</v>
      </c>
      <c r="G402" t="s">
        <v>63</v>
      </c>
      <c r="H402" t="s">
        <v>63</v>
      </c>
      <c r="I402">
        <v>2580</v>
      </c>
      <c r="J402" t="s">
        <v>68</v>
      </c>
      <c r="K402" t="s">
        <v>68</v>
      </c>
      <c r="L402">
        <v>0</v>
      </c>
      <c r="M402">
        <v>0</v>
      </c>
      <c r="N402">
        <v>0</v>
      </c>
      <c r="O402">
        <v>0</v>
      </c>
      <c r="P402">
        <v>2460</v>
      </c>
      <c r="Q402">
        <v>2780</v>
      </c>
      <c r="R402" t="s">
        <v>63</v>
      </c>
      <c r="S402" t="s">
        <v>63</v>
      </c>
    </row>
    <row r="403" spans="1:19" x14ac:dyDescent="0.4">
      <c r="A403" t="s">
        <v>67</v>
      </c>
      <c r="B403">
        <v>202112</v>
      </c>
      <c r="C403">
        <v>13800</v>
      </c>
      <c r="D403" t="s">
        <v>64</v>
      </c>
      <c r="E403">
        <v>105</v>
      </c>
      <c r="F403">
        <v>109</v>
      </c>
      <c r="G403">
        <v>102</v>
      </c>
      <c r="H403">
        <v>109</v>
      </c>
      <c r="I403">
        <v>109</v>
      </c>
      <c r="J403" t="s">
        <v>139</v>
      </c>
      <c r="K403" t="s">
        <v>776</v>
      </c>
      <c r="L403">
        <v>0</v>
      </c>
      <c r="M403">
        <v>6</v>
      </c>
      <c r="N403">
        <v>6</v>
      </c>
      <c r="O403">
        <v>65</v>
      </c>
      <c r="P403">
        <v>90</v>
      </c>
      <c r="Q403">
        <v>111</v>
      </c>
      <c r="R403">
        <v>800</v>
      </c>
      <c r="S403">
        <v>69</v>
      </c>
    </row>
    <row r="404" spans="1:19" x14ac:dyDescent="0.4">
      <c r="A404" t="s">
        <v>67</v>
      </c>
      <c r="B404">
        <v>202112</v>
      </c>
      <c r="C404">
        <v>13900</v>
      </c>
      <c r="D404" t="s">
        <v>62</v>
      </c>
      <c r="E404" t="s">
        <v>63</v>
      </c>
      <c r="F404" t="s">
        <v>63</v>
      </c>
      <c r="G404" t="s">
        <v>63</v>
      </c>
      <c r="H404" t="s">
        <v>63</v>
      </c>
      <c r="I404">
        <v>2480</v>
      </c>
      <c r="J404" t="s">
        <v>68</v>
      </c>
      <c r="K404" t="s">
        <v>68</v>
      </c>
      <c r="L404">
        <v>0</v>
      </c>
      <c r="M404">
        <v>0</v>
      </c>
      <c r="N404">
        <v>0</v>
      </c>
      <c r="O404">
        <v>0</v>
      </c>
      <c r="P404">
        <v>2370</v>
      </c>
      <c r="Q404">
        <v>2690</v>
      </c>
      <c r="R404" t="s">
        <v>63</v>
      </c>
      <c r="S404" t="s">
        <v>63</v>
      </c>
    </row>
    <row r="405" spans="1:19" x14ac:dyDescent="0.4">
      <c r="A405" t="s">
        <v>67</v>
      </c>
      <c r="B405">
        <v>202112</v>
      </c>
      <c r="C405">
        <v>13900</v>
      </c>
      <c r="D405" t="s">
        <v>64</v>
      </c>
      <c r="E405">
        <v>94</v>
      </c>
      <c r="F405">
        <v>110</v>
      </c>
      <c r="G405">
        <v>94</v>
      </c>
      <c r="H405">
        <v>110</v>
      </c>
      <c r="I405">
        <v>110</v>
      </c>
      <c r="J405" t="s">
        <v>87</v>
      </c>
      <c r="K405" t="s">
        <v>324</v>
      </c>
      <c r="L405">
        <v>0</v>
      </c>
      <c r="M405">
        <v>3</v>
      </c>
      <c r="N405">
        <v>3</v>
      </c>
      <c r="O405">
        <v>5</v>
      </c>
      <c r="P405">
        <v>41</v>
      </c>
      <c r="Q405">
        <v>255</v>
      </c>
      <c r="R405">
        <v>123</v>
      </c>
      <c r="S405">
        <v>94</v>
      </c>
    </row>
    <row r="406" spans="1:19" x14ac:dyDescent="0.4">
      <c r="A406" t="s">
        <v>67</v>
      </c>
      <c r="B406">
        <v>202112</v>
      </c>
      <c r="C406">
        <v>14000</v>
      </c>
      <c r="D406" t="s">
        <v>62</v>
      </c>
      <c r="E406" t="s">
        <v>63</v>
      </c>
      <c r="F406" t="s">
        <v>63</v>
      </c>
      <c r="G406" t="s">
        <v>63</v>
      </c>
      <c r="H406" t="s">
        <v>63</v>
      </c>
      <c r="I406">
        <v>2390</v>
      </c>
      <c r="J406" t="s">
        <v>68</v>
      </c>
      <c r="K406" t="s">
        <v>68</v>
      </c>
      <c r="L406">
        <v>0</v>
      </c>
      <c r="M406">
        <v>0</v>
      </c>
      <c r="N406">
        <v>0</v>
      </c>
      <c r="O406">
        <v>2</v>
      </c>
      <c r="P406">
        <v>2280</v>
      </c>
      <c r="Q406">
        <v>2530</v>
      </c>
      <c r="R406">
        <v>1910</v>
      </c>
      <c r="S406">
        <v>1880</v>
      </c>
    </row>
    <row r="407" spans="1:19" x14ac:dyDescent="0.4">
      <c r="A407" t="s">
        <v>67</v>
      </c>
      <c r="B407">
        <v>202112</v>
      </c>
      <c r="C407">
        <v>14000</v>
      </c>
      <c r="D407" t="s">
        <v>64</v>
      </c>
      <c r="E407">
        <v>117</v>
      </c>
      <c r="F407">
        <v>120</v>
      </c>
      <c r="G407">
        <v>114</v>
      </c>
      <c r="H407">
        <v>120</v>
      </c>
      <c r="I407">
        <v>120</v>
      </c>
      <c r="J407" t="s">
        <v>116</v>
      </c>
      <c r="K407" t="s">
        <v>777</v>
      </c>
      <c r="L407">
        <v>1</v>
      </c>
      <c r="M407">
        <v>8</v>
      </c>
      <c r="N407">
        <v>9</v>
      </c>
      <c r="O407">
        <v>252</v>
      </c>
      <c r="P407">
        <v>110</v>
      </c>
      <c r="Q407">
        <v>141</v>
      </c>
      <c r="R407">
        <v>1000</v>
      </c>
      <c r="S407">
        <v>73</v>
      </c>
    </row>
    <row r="408" spans="1:19" x14ac:dyDescent="0.4">
      <c r="A408" t="s">
        <v>67</v>
      </c>
      <c r="B408">
        <v>202112</v>
      </c>
      <c r="C408">
        <v>14100</v>
      </c>
      <c r="D408" t="s">
        <v>62</v>
      </c>
      <c r="E408" t="s">
        <v>63</v>
      </c>
      <c r="F408" t="s">
        <v>63</v>
      </c>
      <c r="G408" t="s">
        <v>63</v>
      </c>
      <c r="H408" t="s">
        <v>63</v>
      </c>
      <c r="I408">
        <v>2300</v>
      </c>
      <c r="J408" t="s">
        <v>68</v>
      </c>
      <c r="K408" t="s">
        <v>68</v>
      </c>
      <c r="L408">
        <v>0</v>
      </c>
      <c r="M408">
        <v>0</v>
      </c>
      <c r="N408">
        <v>0</v>
      </c>
      <c r="O408">
        <v>0</v>
      </c>
      <c r="P408">
        <v>2190</v>
      </c>
      <c r="Q408">
        <v>2440</v>
      </c>
      <c r="R408" t="s">
        <v>63</v>
      </c>
      <c r="S408" t="s">
        <v>63</v>
      </c>
    </row>
    <row r="409" spans="1:19" x14ac:dyDescent="0.4">
      <c r="A409" t="s">
        <v>67</v>
      </c>
      <c r="B409">
        <v>202112</v>
      </c>
      <c r="C409">
        <v>14100</v>
      </c>
      <c r="D409" t="s">
        <v>64</v>
      </c>
      <c r="E409" t="s">
        <v>63</v>
      </c>
      <c r="F409" t="s">
        <v>63</v>
      </c>
      <c r="G409" t="s">
        <v>63</v>
      </c>
      <c r="H409" t="s">
        <v>63</v>
      </c>
      <c r="I409">
        <v>129</v>
      </c>
      <c r="J409" t="s">
        <v>68</v>
      </c>
      <c r="K409" t="s">
        <v>68</v>
      </c>
      <c r="L409">
        <v>0</v>
      </c>
      <c r="M409">
        <v>0</v>
      </c>
      <c r="N409">
        <v>0</v>
      </c>
      <c r="O409">
        <v>7</v>
      </c>
      <c r="P409">
        <v>47</v>
      </c>
      <c r="Q409">
        <v>273</v>
      </c>
      <c r="R409">
        <v>165</v>
      </c>
      <c r="S409">
        <v>141</v>
      </c>
    </row>
    <row r="410" spans="1:19" x14ac:dyDescent="0.4">
      <c r="A410" t="s">
        <v>67</v>
      </c>
      <c r="B410">
        <v>202112</v>
      </c>
      <c r="C410">
        <v>14200</v>
      </c>
      <c r="D410" t="s">
        <v>62</v>
      </c>
      <c r="E410" t="s">
        <v>63</v>
      </c>
      <c r="F410" t="s">
        <v>63</v>
      </c>
      <c r="G410" t="s">
        <v>63</v>
      </c>
      <c r="H410" t="s">
        <v>63</v>
      </c>
      <c r="I410">
        <v>2210</v>
      </c>
      <c r="J410" t="s">
        <v>68</v>
      </c>
      <c r="K410" t="s">
        <v>68</v>
      </c>
      <c r="L410">
        <v>0</v>
      </c>
      <c r="M410">
        <v>0</v>
      </c>
      <c r="N410">
        <v>0</v>
      </c>
      <c r="O410">
        <v>4</v>
      </c>
      <c r="P410">
        <v>2100</v>
      </c>
      <c r="Q410">
        <v>2350</v>
      </c>
      <c r="R410">
        <v>1770</v>
      </c>
      <c r="S410">
        <v>1760</v>
      </c>
    </row>
    <row r="411" spans="1:19" x14ac:dyDescent="0.4">
      <c r="A411" t="s">
        <v>67</v>
      </c>
      <c r="B411">
        <v>202112</v>
      </c>
      <c r="C411">
        <v>14200</v>
      </c>
      <c r="D411" t="s">
        <v>64</v>
      </c>
      <c r="E411" t="s">
        <v>63</v>
      </c>
      <c r="F411" t="s">
        <v>63</v>
      </c>
      <c r="G411" t="s">
        <v>63</v>
      </c>
      <c r="H411" t="s">
        <v>63</v>
      </c>
      <c r="I411">
        <v>140</v>
      </c>
      <c r="J411" t="s">
        <v>68</v>
      </c>
      <c r="K411" t="s">
        <v>68</v>
      </c>
      <c r="L411">
        <v>0</v>
      </c>
      <c r="M411">
        <v>0</v>
      </c>
      <c r="N411">
        <v>0</v>
      </c>
      <c r="O411">
        <v>262</v>
      </c>
      <c r="P411">
        <v>50</v>
      </c>
      <c r="Q411">
        <v>284</v>
      </c>
      <c r="R411">
        <v>970</v>
      </c>
      <c r="S411">
        <v>81</v>
      </c>
    </row>
    <row r="412" spans="1:19" x14ac:dyDescent="0.4">
      <c r="A412" t="s">
        <v>67</v>
      </c>
      <c r="B412">
        <v>202112</v>
      </c>
      <c r="C412">
        <v>14300</v>
      </c>
      <c r="D412" t="s">
        <v>62</v>
      </c>
      <c r="E412" t="s">
        <v>63</v>
      </c>
      <c r="F412" t="s">
        <v>63</v>
      </c>
      <c r="G412" t="s">
        <v>63</v>
      </c>
      <c r="H412" t="s">
        <v>63</v>
      </c>
      <c r="I412">
        <v>2120</v>
      </c>
      <c r="J412" t="s">
        <v>68</v>
      </c>
      <c r="K412" t="s">
        <v>68</v>
      </c>
      <c r="L412">
        <v>0</v>
      </c>
      <c r="M412">
        <v>0</v>
      </c>
      <c r="N412">
        <v>0</v>
      </c>
      <c r="O412">
        <v>0</v>
      </c>
      <c r="P412">
        <v>2010</v>
      </c>
      <c r="Q412">
        <v>2270</v>
      </c>
      <c r="R412" t="s">
        <v>63</v>
      </c>
      <c r="S412" t="s">
        <v>63</v>
      </c>
    </row>
    <row r="413" spans="1:19" x14ac:dyDescent="0.4">
      <c r="A413" t="s">
        <v>67</v>
      </c>
      <c r="B413">
        <v>202112</v>
      </c>
      <c r="C413">
        <v>14300</v>
      </c>
      <c r="D413" t="s">
        <v>64</v>
      </c>
      <c r="E413" t="s">
        <v>63</v>
      </c>
      <c r="F413" t="s">
        <v>63</v>
      </c>
      <c r="G413" t="s">
        <v>63</v>
      </c>
      <c r="H413" t="s">
        <v>63</v>
      </c>
      <c r="I413">
        <v>150</v>
      </c>
      <c r="J413" t="s">
        <v>68</v>
      </c>
      <c r="K413" t="s">
        <v>68</v>
      </c>
      <c r="L413">
        <v>0</v>
      </c>
      <c r="M413">
        <v>0</v>
      </c>
      <c r="N413">
        <v>0</v>
      </c>
      <c r="O413">
        <v>1</v>
      </c>
      <c r="P413">
        <v>137</v>
      </c>
      <c r="Q413">
        <v>172</v>
      </c>
      <c r="R413">
        <v>190</v>
      </c>
      <c r="S413">
        <v>168</v>
      </c>
    </row>
    <row r="414" spans="1:19" x14ac:dyDescent="0.4">
      <c r="A414" t="s">
        <v>67</v>
      </c>
      <c r="B414">
        <v>202112</v>
      </c>
      <c r="C414">
        <v>14400</v>
      </c>
      <c r="D414" t="s">
        <v>62</v>
      </c>
      <c r="E414" t="s">
        <v>63</v>
      </c>
      <c r="F414" t="s">
        <v>63</v>
      </c>
      <c r="G414" t="s">
        <v>63</v>
      </c>
      <c r="H414" t="s">
        <v>63</v>
      </c>
      <c r="I414">
        <v>2030</v>
      </c>
      <c r="J414" t="s">
        <v>68</v>
      </c>
      <c r="K414" t="s">
        <v>68</v>
      </c>
      <c r="L414">
        <v>0</v>
      </c>
      <c r="M414">
        <v>0</v>
      </c>
      <c r="N414">
        <v>0</v>
      </c>
      <c r="O414">
        <v>0</v>
      </c>
      <c r="P414">
        <v>1920</v>
      </c>
      <c r="Q414">
        <v>2170</v>
      </c>
      <c r="R414" t="s">
        <v>63</v>
      </c>
      <c r="S414" t="s">
        <v>63</v>
      </c>
    </row>
    <row r="415" spans="1:19" x14ac:dyDescent="0.4">
      <c r="A415" t="s">
        <v>67</v>
      </c>
      <c r="B415">
        <v>202112</v>
      </c>
      <c r="C415">
        <v>14400</v>
      </c>
      <c r="D415" t="s">
        <v>64</v>
      </c>
      <c r="E415" t="s">
        <v>63</v>
      </c>
      <c r="F415" t="s">
        <v>63</v>
      </c>
      <c r="G415" t="s">
        <v>63</v>
      </c>
      <c r="H415" t="s">
        <v>63</v>
      </c>
      <c r="I415">
        <v>162</v>
      </c>
      <c r="J415" t="s">
        <v>68</v>
      </c>
      <c r="K415" t="s">
        <v>68</v>
      </c>
      <c r="L415">
        <v>0</v>
      </c>
      <c r="M415">
        <v>0</v>
      </c>
      <c r="N415">
        <v>0</v>
      </c>
      <c r="O415">
        <v>269</v>
      </c>
      <c r="P415">
        <v>151</v>
      </c>
      <c r="Q415">
        <v>183</v>
      </c>
      <c r="R415">
        <v>1080</v>
      </c>
      <c r="S415">
        <v>102</v>
      </c>
    </row>
    <row r="416" spans="1:19" x14ac:dyDescent="0.4">
      <c r="A416" t="s">
        <v>67</v>
      </c>
      <c r="B416">
        <v>202112</v>
      </c>
      <c r="C416">
        <v>14500</v>
      </c>
      <c r="D416" t="s">
        <v>62</v>
      </c>
      <c r="E416" t="s">
        <v>63</v>
      </c>
      <c r="F416" t="s">
        <v>63</v>
      </c>
      <c r="G416" t="s">
        <v>63</v>
      </c>
      <c r="H416" t="s">
        <v>63</v>
      </c>
      <c r="I416">
        <v>1940</v>
      </c>
      <c r="J416" t="s">
        <v>68</v>
      </c>
      <c r="K416" t="s">
        <v>68</v>
      </c>
      <c r="L416">
        <v>0</v>
      </c>
      <c r="M416">
        <v>0</v>
      </c>
      <c r="N416">
        <v>0</v>
      </c>
      <c r="O416">
        <v>0</v>
      </c>
      <c r="P416">
        <v>1830</v>
      </c>
      <c r="Q416">
        <v>2130</v>
      </c>
      <c r="R416" t="s">
        <v>63</v>
      </c>
      <c r="S416" t="s">
        <v>63</v>
      </c>
    </row>
    <row r="417" spans="1:19" x14ac:dyDescent="0.4">
      <c r="A417" t="s">
        <v>67</v>
      </c>
      <c r="B417">
        <v>202112</v>
      </c>
      <c r="C417">
        <v>14500</v>
      </c>
      <c r="D417" t="s">
        <v>64</v>
      </c>
      <c r="E417" t="s">
        <v>63</v>
      </c>
      <c r="F417" t="s">
        <v>63</v>
      </c>
      <c r="G417" t="s">
        <v>63</v>
      </c>
      <c r="H417" t="s">
        <v>63</v>
      </c>
      <c r="I417">
        <v>175</v>
      </c>
      <c r="J417" t="s">
        <v>68</v>
      </c>
      <c r="K417" t="s">
        <v>68</v>
      </c>
      <c r="L417">
        <v>0</v>
      </c>
      <c r="M417">
        <v>0</v>
      </c>
      <c r="N417">
        <v>0</v>
      </c>
      <c r="O417">
        <v>7</v>
      </c>
      <c r="P417">
        <v>162</v>
      </c>
      <c r="Q417">
        <v>195</v>
      </c>
      <c r="R417">
        <v>205</v>
      </c>
      <c r="S417">
        <v>127</v>
      </c>
    </row>
    <row r="418" spans="1:19" x14ac:dyDescent="0.4">
      <c r="A418" t="s">
        <v>67</v>
      </c>
      <c r="B418">
        <v>202112</v>
      </c>
      <c r="C418">
        <v>14600</v>
      </c>
      <c r="D418" t="s">
        <v>62</v>
      </c>
      <c r="E418" t="s">
        <v>63</v>
      </c>
      <c r="F418" t="s">
        <v>63</v>
      </c>
      <c r="G418" t="s">
        <v>63</v>
      </c>
      <c r="H418" t="s">
        <v>63</v>
      </c>
      <c r="I418">
        <v>1860</v>
      </c>
      <c r="J418" t="s">
        <v>68</v>
      </c>
      <c r="K418" t="s">
        <v>68</v>
      </c>
      <c r="L418">
        <v>0</v>
      </c>
      <c r="M418">
        <v>0</v>
      </c>
      <c r="N418">
        <v>0</v>
      </c>
      <c r="O418">
        <v>1</v>
      </c>
      <c r="P418">
        <v>1730</v>
      </c>
      <c r="Q418">
        <v>2040</v>
      </c>
      <c r="R418">
        <v>2550</v>
      </c>
      <c r="S418">
        <v>1270</v>
      </c>
    </row>
    <row r="419" spans="1:19" x14ac:dyDescent="0.4">
      <c r="A419" t="s">
        <v>67</v>
      </c>
      <c r="B419">
        <v>202112</v>
      </c>
      <c r="C419">
        <v>14600</v>
      </c>
      <c r="D419" t="s">
        <v>64</v>
      </c>
      <c r="E419" t="s">
        <v>63</v>
      </c>
      <c r="F419" t="s">
        <v>63</v>
      </c>
      <c r="G419" t="s">
        <v>63</v>
      </c>
      <c r="H419" t="s">
        <v>63</v>
      </c>
      <c r="I419">
        <v>188</v>
      </c>
      <c r="J419" t="s">
        <v>68</v>
      </c>
      <c r="K419" t="s">
        <v>68</v>
      </c>
      <c r="L419">
        <v>1</v>
      </c>
      <c r="M419">
        <v>0</v>
      </c>
      <c r="N419">
        <v>1</v>
      </c>
      <c r="O419">
        <v>244</v>
      </c>
      <c r="P419">
        <v>177</v>
      </c>
      <c r="Q419">
        <v>209</v>
      </c>
      <c r="R419">
        <v>1050</v>
      </c>
      <c r="S419">
        <v>105</v>
      </c>
    </row>
    <row r="420" spans="1:19" x14ac:dyDescent="0.4">
      <c r="A420" t="s">
        <v>67</v>
      </c>
      <c r="B420">
        <v>202112</v>
      </c>
      <c r="C420">
        <v>14700</v>
      </c>
      <c r="D420" t="s">
        <v>62</v>
      </c>
      <c r="E420" t="s">
        <v>63</v>
      </c>
      <c r="F420" t="s">
        <v>63</v>
      </c>
      <c r="G420" t="s">
        <v>63</v>
      </c>
      <c r="H420" t="s">
        <v>63</v>
      </c>
      <c r="I420">
        <v>1770</v>
      </c>
      <c r="J420" t="s">
        <v>68</v>
      </c>
      <c r="K420" t="s">
        <v>68</v>
      </c>
      <c r="L420">
        <v>0</v>
      </c>
      <c r="M420">
        <v>0</v>
      </c>
      <c r="N420">
        <v>0</v>
      </c>
      <c r="O420">
        <v>0</v>
      </c>
      <c r="P420">
        <v>1670</v>
      </c>
      <c r="Q420">
        <v>1950</v>
      </c>
      <c r="R420" t="s">
        <v>63</v>
      </c>
      <c r="S420" t="s">
        <v>63</v>
      </c>
    </row>
    <row r="421" spans="1:19" x14ac:dyDescent="0.4">
      <c r="A421" t="s">
        <v>67</v>
      </c>
      <c r="B421">
        <v>202112</v>
      </c>
      <c r="C421">
        <v>14700</v>
      </c>
      <c r="D421" t="s">
        <v>64</v>
      </c>
      <c r="E421" t="s">
        <v>63</v>
      </c>
      <c r="F421" t="s">
        <v>63</v>
      </c>
      <c r="G421" t="s">
        <v>63</v>
      </c>
      <c r="H421" t="s">
        <v>63</v>
      </c>
      <c r="I421">
        <v>203</v>
      </c>
      <c r="J421" t="s">
        <v>68</v>
      </c>
      <c r="K421" t="s">
        <v>68</v>
      </c>
      <c r="L421">
        <v>0</v>
      </c>
      <c r="M421">
        <v>0</v>
      </c>
      <c r="N421">
        <v>0</v>
      </c>
      <c r="O421">
        <v>6</v>
      </c>
      <c r="P421">
        <v>188</v>
      </c>
      <c r="Q421">
        <v>224</v>
      </c>
      <c r="R421">
        <v>257</v>
      </c>
      <c r="S421">
        <v>220</v>
      </c>
    </row>
    <row r="422" spans="1:19" x14ac:dyDescent="0.4">
      <c r="A422" t="s">
        <v>67</v>
      </c>
      <c r="B422">
        <v>202112</v>
      </c>
      <c r="C422">
        <v>14800</v>
      </c>
      <c r="D422" t="s">
        <v>62</v>
      </c>
      <c r="E422" t="s">
        <v>63</v>
      </c>
      <c r="F422" t="s">
        <v>63</v>
      </c>
      <c r="G422" t="s">
        <v>63</v>
      </c>
      <c r="H422" t="s">
        <v>63</v>
      </c>
      <c r="I422">
        <v>1690</v>
      </c>
      <c r="J422" t="s">
        <v>68</v>
      </c>
      <c r="K422" t="s">
        <v>68</v>
      </c>
      <c r="L422">
        <v>0</v>
      </c>
      <c r="M422">
        <v>0</v>
      </c>
      <c r="N422">
        <v>0</v>
      </c>
      <c r="O422">
        <v>1</v>
      </c>
      <c r="P422">
        <v>1570</v>
      </c>
      <c r="Q422">
        <v>1870</v>
      </c>
      <c r="R422">
        <v>2510</v>
      </c>
      <c r="S422">
        <v>980</v>
      </c>
    </row>
    <row r="423" spans="1:19" x14ac:dyDescent="0.4">
      <c r="A423" t="s">
        <v>67</v>
      </c>
      <c r="B423">
        <v>202112</v>
      </c>
      <c r="C423">
        <v>14800</v>
      </c>
      <c r="D423" t="s">
        <v>64</v>
      </c>
      <c r="E423">
        <v>187</v>
      </c>
      <c r="F423">
        <v>218</v>
      </c>
      <c r="G423">
        <v>187</v>
      </c>
      <c r="H423">
        <v>218</v>
      </c>
      <c r="I423">
        <v>218</v>
      </c>
      <c r="J423" t="s">
        <v>439</v>
      </c>
      <c r="K423" t="s">
        <v>778</v>
      </c>
      <c r="L423">
        <v>1</v>
      </c>
      <c r="M423">
        <v>11</v>
      </c>
      <c r="N423">
        <v>12</v>
      </c>
      <c r="O423">
        <v>252</v>
      </c>
      <c r="P423">
        <v>104</v>
      </c>
      <c r="Q423">
        <v>350</v>
      </c>
      <c r="R423">
        <v>1190</v>
      </c>
      <c r="S423">
        <v>113</v>
      </c>
    </row>
    <row r="424" spans="1:19" x14ac:dyDescent="0.4">
      <c r="A424" t="s">
        <v>67</v>
      </c>
      <c r="B424">
        <v>202112</v>
      </c>
      <c r="C424">
        <v>14900</v>
      </c>
      <c r="D424" t="s">
        <v>62</v>
      </c>
      <c r="E424" t="s">
        <v>63</v>
      </c>
      <c r="F424" t="s">
        <v>63</v>
      </c>
      <c r="G424" t="s">
        <v>63</v>
      </c>
      <c r="H424" t="s">
        <v>63</v>
      </c>
      <c r="I424">
        <v>1600</v>
      </c>
      <c r="J424" t="s">
        <v>68</v>
      </c>
      <c r="K424" t="s">
        <v>68</v>
      </c>
      <c r="L424">
        <v>0</v>
      </c>
      <c r="M424">
        <v>0</v>
      </c>
      <c r="N424">
        <v>0</v>
      </c>
      <c r="O424">
        <v>0</v>
      </c>
      <c r="P424">
        <v>1500</v>
      </c>
      <c r="Q424">
        <v>1780</v>
      </c>
      <c r="R424" t="s">
        <v>63</v>
      </c>
      <c r="S424" t="s">
        <v>63</v>
      </c>
    </row>
    <row r="425" spans="1:19" x14ac:dyDescent="0.4">
      <c r="A425" t="s">
        <v>67</v>
      </c>
      <c r="B425">
        <v>202112</v>
      </c>
      <c r="C425">
        <v>14900</v>
      </c>
      <c r="D425" t="s">
        <v>64</v>
      </c>
      <c r="E425">
        <v>181</v>
      </c>
      <c r="F425">
        <v>181</v>
      </c>
      <c r="G425">
        <v>181</v>
      </c>
      <c r="H425">
        <v>181</v>
      </c>
      <c r="I425">
        <v>234</v>
      </c>
      <c r="J425" t="s">
        <v>441</v>
      </c>
      <c r="K425" t="s">
        <v>779</v>
      </c>
      <c r="L425">
        <v>0</v>
      </c>
      <c r="M425">
        <v>1</v>
      </c>
      <c r="N425">
        <v>1</v>
      </c>
      <c r="O425">
        <v>16</v>
      </c>
      <c r="P425">
        <v>221</v>
      </c>
      <c r="Q425">
        <v>253</v>
      </c>
      <c r="R425">
        <v>263</v>
      </c>
      <c r="S425">
        <v>162</v>
      </c>
    </row>
    <row r="426" spans="1:19" x14ac:dyDescent="0.4">
      <c r="A426" t="s">
        <v>67</v>
      </c>
      <c r="B426">
        <v>202112</v>
      </c>
      <c r="C426">
        <v>15000</v>
      </c>
      <c r="D426" t="s">
        <v>62</v>
      </c>
      <c r="E426" t="s">
        <v>63</v>
      </c>
      <c r="F426" t="s">
        <v>63</v>
      </c>
      <c r="G426" t="s">
        <v>63</v>
      </c>
      <c r="H426" t="s">
        <v>63</v>
      </c>
      <c r="I426">
        <v>1520</v>
      </c>
      <c r="J426" t="s">
        <v>68</v>
      </c>
      <c r="K426" t="s">
        <v>68</v>
      </c>
      <c r="L426">
        <v>0</v>
      </c>
      <c r="M426">
        <v>0</v>
      </c>
      <c r="N426">
        <v>0</v>
      </c>
      <c r="O426">
        <v>16</v>
      </c>
      <c r="P426">
        <v>1400</v>
      </c>
      <c r="Q426">
        <v>1690</v>
      </c>
      <c r="R426">
        <v>2730</v>
      </c>
      <c r="S426">
        <v>820</v>
      </c>
    </row>
    <row r="427" spans="1:19" x14ac:dyDescent="0.4">
      <c r="A427" t="s">
        <v>67</v>
      </c>
      <c r="B427">
        <v>202112</v>
      </c>
      <c r="C427">
        <v>15000</v>
      </c>
      <c r="D427" t="s">
        <v>64</v>
      </c>
      <c r="E427">
        <v>202</v>
      </c>
      <c r="F427">
        <v>252</v>
      </c>
      <c r="G427">
        <v>202</v>
      </c>
      <c r="H427">
        <v>252</v>
      </c>
      <c r="I427">
        <v>252</v>
      </c>
      <c r="J427" t="s">
        <v>84</v>
      </c>
      <c r="K427" t="s">
        <v>780</v>
      </c>
      <c r="L427">
        <v>0</v>
      </c>
      <c r="M427">
        <v>14</v>
      </c>
      <c r="N427">
        <v>14</v>
      </c>
      <c r="O427">
        <v>2539</v>
      </c>
      <c r="P427">
        <v>234</v>
      </c>
      <c r="Q427">
        <v>273</v>
      </c>
      <c r="R427">
        <v>1310</v>
      </c>
      <c r="S427">
        <v>124</v>
      </c>
    </row>
    <row r="428" spans="1:19" x14ac:dyDescent="0.4">
      <c r="A428" t="s">
        <v>67</v>
      </c>
      <c r="B428">
        <v>202112</v>
      </c>
      <c r="C428">
        <v>15100</v>
      </c>
      <c r="D428" t="s">
        <v>62</v>
      </c>
      <c r="E428" t="s">
        <v>63</v>
      </c>
      <c r="F428" t="s">
        <v>63</v>
      </c>
      <c r="G428" t="s">
        <v>63</v>
      </c>
      <c r="H428" t="s">
        <v>63</v>
      </c>
      <c r="I428">
        <v>1440</v>
      </c>
      <c r="J428" t="s">
        <v>68</v>
      </c>
      <c r="K428" t="s">
        <v>68</v>
      </c>
      <c r="L428">
        <v>0</v>
      </c>
      <c r="M428">
        <v>0</v>
      </c>
      <c r="N428">
        <v>0</v>
      </c>
      <c r="O428">
        <v>0</v>
      </c>
      <c r="P428">
        <v>1310</v>
      </c>
      <c r="Q428">
        <v>1610</v>
      </c>
      <c r="R428" t="s">
        <v>63</v>
      </c>
      <c r="S428" t="s">
        <v>63</v>
      </c>
    </row>
    <row r="429" spans="1:19" x14ac:dyDescent="0.4">
      <c r="A429" t="s">
        <v>67</v>
      </c>
      <c r="B429">
        <v>202112</v>
      </c>
      <c r="C429">
        <v>15100</v>
      </c>
      <c r="D429" t="s">
        <v>64</v>
      </c>
      <c r="E429" t="s">
        <v>63</v>
      </c>
      <c r="F429" t="s">
        <v>63</v>
      </c>
      <c r="G429" t="s">
        <v>63</v>
      </c>
      <c r="H429" t="s">
        <v>63</v>
      </c>
      <c r="I429">
        <v>268</v>
      </c>
      <c r="J429" t="s">
        <v>68</v>
      </c>
      <c r="K429" t="s">
        <v>68</v>
      </c>
      <c r="L429">
        <v>0</v>
      </c>
      <c r="M429">
        <v>0</v>
      </c>
      <c r="N429">
        <v>0</v>
      </c>
      <c r="O429">
        <v>25</v>
      </c>
      <c r="P429">
        <v>255</v>
      </c>
      <c r="Q429">
        <v>289</v>
      </c>
      <c r="R429">
        <v>230</v>
      </c>
      <c r="S429">
        <v>153</v>
      </c>
    </row>
    <row r="430" spans="1:19" x14ac:dyDescent="0.4">
      <c r="A430" t="s">
        <v>67</v>
      </c>
      <c r="B430">
        <v>202112</v>
      </c>
      <c r="C430">
        <v>15200</v>
      </c>
      <c r="D430" t="s">
        <v>62</v>
      </c>
      <c r="E430" t="s">
        <v>63</v>
      </c>
      <c r="F430" t="s">
        <v>63</v>
      </c>
      <c r="G430" t="s">
        <v>63</v>
      </c>
      <c r="H430" t="s">
        <v>63</v>
      </c>
      <c r="I430">
        <v>1350</v>
      </c>
      <c r="J430" t="s">
        <v>68</v>
      </c>
      <c r="K430" t="s">
        <v>68</v>
      </c>
      <c r="L430">
        <v>0</v>
      </c>
      <c r="M430">
        <v>0</v>
      </c>
      <c r="N430">
        <v>0</v>
      </c>
      <c r="O430">
        <v>28</v>
      </c>
      <c r="P430">
        <v>1230</v>
      </c>
      <c r="Q430">
        <v>1530</v>
      </c>
      <c r="R430">
        <v>2140</v>
      </c>
      <c r="S430">
        <v>880</v>
      </c>
    </row>
    <row r="431" spans="1:19" x14ac:dyDescent="0.4">
      <c r="A431" t="s">
        <v>67</v>
      </c>
      <c r="B431">
        <v>202112</v>
      </c>
      <c r="C431">
        <v>15200</v>
      </c>
      <c r="D431" t="s">
        <v>64</v>
      </c>
      <c r="E431">
        <v>256</v>
      </c>
      <c r="F431">
        <v>256</v>
      </c>
      <c r="G431">
        <v>256</v>
      </c>
      <c r="H431">
        <v>256</v>
      </c>
      <c r="I431">
        <v>285</v>
      </c>
      <c r="J431" t="s">
        <v>83</v>
      </c>
      <c r="K431" t="s">
        <v>781</v>
      </c>
      <c r="L431">
        <v>0</v>
      </c>
      <c r="M431">
        <v>1</v>
      </c>
      <c r="N431">
        <v>1</v>
      </c>
      <c r="O431">
        <v>413</v>
      </c>
      <c r="P431">
        <v>203</v>
      </c>
      <c r="Q431">
        <v>409</v>
      </c>
      <c r="R431">
        <v>1120</v>
      </c>
      <c r="S431">
        <v>103</v>
      </c>
    </row>
    <row r="432" spans="1:19" x14ac:dyDescent="0.4">
      <c r="A432" t="s">
        <v>67</v>
      </c>
      <c r="B432">
        <v>202112</v>
      </c>
      <c r="C432">
        <v>15300</v>
      </c>
      <c r="D432" t="s">
        <v>62</v>
      </c>
      <c r="E432" t="s">
        <v>63</v>
      </c>
      <c r="F432" t="s">
        <v>63</v>
      </c>
      <c r="G432" t="s">
        <v>63</v>
      </c>
      <c r="H432" t="s">
        <v>63</v>
      </c>
      <c r="I432">
        <v>1270</v>
      </c>
      <c r="J432" t="s">
        <v>68</v>
      </c>
      <c r="K432" t="s">
        <v>68</v>
      </c>
      <c r="L432">
        <v>0</v>
      </c>
      <c r="M432">
        <v>0</v>
      </c>
      <c r="N432">
        <v>0</v>
      </c>
      <c r="O432">
        <v>0</v>
      </c>
      <c r="P432">
        <v>1150</v>
      </c>
      <c r="Q432">
        <v>1420</v>
      </c>
      <c r="R432" t="s">
        <v>63</v>
      </c>
      <c r="S432" t="s">
        <v>63</v>
      </c>
    </row>
    <row r="433" spans="1:19" x14ac:dyDescent="0.4">
      <c r="A433" t="s">
        <v>67</v>
      </c>
      <c r="B433">
        <v>202112</v>
      </c>
      <c r="C433">
        <v>15300</v>
      </c>
      <c r="D433" t="s">
        <v>64</v>
      </c>
      <c r="E433">
        <v>303</v>
      </c>
      <c r="F433">
        <v>303</v>
      </c>
      <c r="G433">
        <v>303</v>
      </c>
      <c r="H433">
        <v>303</v>
      </c>
      <c r="I433">
        <v>303</v>
      </c>
      <c r="J433" t="s">
        <v>84</v>
      </c>
      <c r="K433" t="s">
        <v>498</v>
      </c>
      <c r="L433">
        <v>0</v>
      </c>
      <c r="M433">
        <v>1</v>
      </c>
      <c r="N433">
        <v>1</v>
      </c>
      <c r="O433">
        <v>3</v>
      </c>
      <c r="P433">
        <v>297</v>
      </c>
      <c r="Q433">
        <v>332</v>
      </c>
      <c r="R433">
        <v>346</v>
      </c>
      <c r="S433">
        <v>170</v>
      </c>
    </row>
    <row r="434" spans="1:19" x14ac:dyDescent="0.4">
      <c r="A434" t="s">
        <v>67</v>
      </c>
      <c r="B434">
        <v>202112</v>
      </c>
      <c r="C434">
        <v>15400</v>
      </c>
      <c r="D434" t="s">
        <v>62</v>
      </c>
      <c r="E434" t="s">
        <v>63</v>
      </c>
      <c r="F434" t="s">
        <v>63</v>
      </c>
      <c r="G434" t="s">
        <v>63</v>
      </c>
      <c r="H434" t="s">
        <v>63</v>
      </c>
      <c r="I434">
        <v>1200</v>
      </c>
      <c r="J434" t="s">
        <v>68</v>
      </c>
      <c r="K434" t="s">
        <v>68</v>
      </c>
      <c r="L434">
        <v>0</v>
      </c>
      <c r="M434">
        <v>0</v>
      </c>
      <c r="N434">
        <v>0</v>
      </c>
      <c r="O434">
        <v>48</v>
      </c>
      <c r="P434">
        <v>1070</v>
      </c>
      <c r="Q434">
        <v>1340</v>
      </c>
      <c r="R434">
        <v>2270</v>
      </c>
      <c r="S434">
        <v>740</v>
      </c>
    </row>
    <row r="435" spans="1:19" x14ac:dyDescent="0.4">
      <c r="A435" t="s">
        <v>67</v>
      </c>
      <c r="B435">
        <v>202112</v>
      </c>
      <c r="C435">
        <v>15400</v>
      </c>
      <c r="D435" t="s">
        <v>64</v>
      </c>
      <c r="E435" t="s">
        <v>63</v>
      </c>
      <c r="F435" t="s">
        <v>63</v>
      </c>
      <c r="G435" t="s">
        <v>63</v>
      </c>
      <c r="H435" t="s">
        <v>63</v>
      </c>
      <c r="I435">
        <v>332</v>
      </c>
      <c r="J435" t="s">
        <v>68</v>
      </c>
      <c r="K435" t="s">
        <v>68</v>
      </c>
      <c r="L435">
        <v>0</v>
      </c>
      <c r="M435">
        <v>0</v>
      </c>
      <c r="N435">
        <v>0</v>
      </c>
      <c r="O435">
        <v>494</v>
      </c>
      <c r="P435">
        <v>320</v>
      </c>
      <c r="Q435">
        <v>356</v>
      </c>
      <c r="R435">
        <v>1350</v>
      </c>
      <c r="S435">
        <v>176</v>
      </c>
    </row>
    <row r="436" spans="1:19" x14ac:dyDescent="0.4">
      <c r="A436" t="s">
        <v>67</v>
      </c>
      <c r="B436">
        <v>202112</v>
      </c>
      <c r="C436">
        <v>15500</v>
      </c>
      <c r="D436" t="s">
        <v>62</v>
      </c>
      <c r="E436" t="s">
        <v>63</v>
      </c>
      <c r="F436" t="s">
        <v>63</v>
      </c>
      <c r="G436" t="s">
        <v>63</v>
      </c>
      <c r="H436" t="s">
        <v>63</v>
      </c>
      <c r="I436">
        <v>1130</v>
      </c>
      <c r="J436" t="s">
        <v>68</v>
      </c>
      <c r="K436" t="s">
        <v>68</v>
      </c>
      <c r="L436">
        <v>0</v>
      </c>
      <c r="M436">
        <v>0</v>
      </c>
      <c r="N436">
        <v>0</v>
      </c>
      <c r="O436">
        <v>0</v>
      </c>
      <c r="P436">
        <v>1100</v>
      </c>
      <c r="Q436">
        <v>1160</v>
      </c>
      <c r="R436" t="s">
        <v>63</v>
      </c>
      <c r="S436" t="s">
        <v>63</v>
      </c>
    </row>
    <row r="437" spans="1:19" x14ac:dyDescent="0.4">
      <c r="A437" t="s">
        <v>67</v>
      </c>
      <c r="B437">
        <v>202112</v>
      </c>
      <c r="C437">
        <v>15500</v>
      </c>
      <c r="D437" t="s">
        <v>64</v>
      </c>
      <c r="E437">
        <v>347</v>
      </c>
      <c r="F437">
        <v>363</v>
      </c>
      <c r="G437">
        <v>344</v>
      </c>
      <c r="H437">
        <v>363</v>
      </c>
      <c r="I437">
        <v>363</v>
      </c>
      <c r="J437" t="s">
        <v>88</v>
      </c>
      <c r="K437" t="s">
        <v>782</v>
      </c>
      <c r="L437">
        <v>0</v>
      </c>
      <c r="M437">
        <v>269</v>
      </c>
      <c r="N437">
        <v>269</v>
      </c>
      <c r="O437">
        <v>270</v>
      </c>
      <c r="P437">
        <v>363</v>
      </c>
      <c r="Q437">
        <v>466</v>
      </c>
      <c r="R437">
        <v>363</v>
      </c>
      <c r="S437">
        <v>188</v>
      </c>
    </row>
    <row r="438" spans="1:19" x14ac:dyDescent="0.4">
      <c r="A438" t="s">
        <v>67</v>
      </c>
      <c r="B438">
        <v>202112</v>
      </c>
      <c r="C438">
        <v>15600</v>
      </c>
      <c r="D438" t="s">
        <v>62</v>
      </c>
      <c r="E438" t="s">
        <v>63</v>
      </c>
      <c r="F438" t="s">
        <v>63</v>
      </c>
      <c r="G438" t="s">
        <v>63</v>
      </c>
      <c r="H438" t="s">
        <v>63</v>
      </c>
      <c r="I438">
        <v>1060</v>
      </c>
      <c r="J438" t="s">
        <v>68</v>
      </c>
      <c r="K438" t="s">
        <v>68</v>
      </c>
      <c r="L438">
        <v>0</v>
      </c>
      <c r="M438">
        <v>0</v>
      </c>
      <c r="N438">
        <v>0</v>
      </c>
      <c r="O438">
        <v>36</v>
      </c>
      <c r="P438">
        <v>1030</v>
      </c>
      <c r="Q438">
        <v>1190</v>
      </c>
      <c r="R438">
        <v>2190</v>
      </c>
      <c r="S438">
        <v>620</v>
      </c>
    </row>
    <row r="439" spans="1:19" x14ac:dyDescent="0.4">
      <c r="A439" t="s">
        <v>67</v>
      </c>
      <c r="B439">
        <v>202112</v>
      </c>
      <c r="C439">
        <v>15600</v>
      </c>
      <c r="D439" t="s">
        <v>64</v>
      </c>
      <c r="E439" t="s">
        <v>63</v>
      </c>
      <c r="F439" t="s">
        <v>63</v>
      </c>
      <c r="G439" t="s">
        <v>63</v>
      </c>
      <c r="H439" t="s">
        <v>63</v>
      </c>
      <c r="I439">
        <v>387</v>
      </c>
      <c r="J439" t="s">
        <v>68</v>
      </c>
      <c r="K439" t="s">
        <v>68</v>
      </c>
      <c r="L439">
        <v>0</v>
      </c>
      <c r="M439">
        <v>0</v>
      </c>
      <c r="N439">
        <v>0</v>
      </c>
      <c r="O439">
        <v>261</v>
      </c>
      <c r="P439">
        <v>368</v>
      </c>
      <c r="Q439">
        <v>406</v>
      </c>
      <c r="R439">
        <v>1680</v>
      </c>
      <c r="S439">
        <v>196</v>
      </c>
    </row>
    <row r="440" spans="1:19" x14ac:dyDescent="0.4">
      <c r="A440" t="s">
        <v>67</v>
      </c>
      <c r="B440">
        <v>202112</v>
      </c>
      <c r="C440">
        <v>15700</v>
      </c>
      <c r="D440" t="s">
        <v>62</v>
      </c>
      <c r="E440" t="s">
        <v>63</v>
      </c>
      <c r="F440" t="s">
        <v>63</v>
      </c>
      <c r="G440" t="s">
        <v>63</v>
      </c>
      <c r="H440" t="s">
        <v>63</v>
      </c>
      <c r="I440">
        <v>965</v>
      </c>
      <c r="J440" t="s">
        <v>68</v>
      </c>
      <c r="K440" t="s">
        <v>68</v>
      </c>
      <c r="L440">
        <v>0</v>
      </c>
      <c r="M440">
        <v>0</v>
      </c>
      <c r="N440">
        <v>0</v>
      </c>
      <c r="O440">
        <v>0</v>
      </c>
      <c r="P440">
        <v>840</v>
      </c>
      <c r="Q440">
        <v>1010</v>
      </c>
      <c r="R440" t="s">
        <v>63</v>
      </c>
      <c r="S440" t="s">
        <v>63</v>
      </c>
    </row>
    <row r="441" spans="1:19" x14ac:dyDescent="0.4">
      <c r="A441" t="s">
        <v>67</v>
      </c>
      <c r="B441">
        <v>202112</v>
      </c>
      <c r="C441">
        <v>15700</v>
      </c>
      <c r="D441" t="s">
        <v>64</v>
      </c>
      <c r="E441">
        <v>409</v>
      </c>
      <c r="F441">
        <v>409</v>
      </c>
      <c r="G441">
        <v>397</v>
      </c>
      <c r="H441">
        <v>397</v>
      </c>
      <c r="I441">
        <v>397</v>
      </c>
      <c r="J441" t="s">
        <v>88</v>
      </c>
      <c r="K441" t="s">
        <v>783</v>
      </c>
      <c r="L441">
        <v>0</v>
      </c>
      <c r="M441">
        <v>11</v>
      </c>
      <c r="N441">
        <v>11</v>
      </c>
      <c r="O441">
        <v>15</v>
      </c>
      <c r="P441">
        <v>395</v>
      </c>
      <c r="Q441">
        <v>432</v>
      </c>
      <c r="R441">
        <v>409</v>
      </c>
      <c r="S441">
        <v>215</v>
      </c>
    </row>
    <row r="442" spans="1:19" x14ac:dyDescent="0.4">
      <c r="A442" t="s">
        <v>67</v>
      </c>
      <c r="B442">
        <v>202112</v>
      </c>
      <c r="C442">
        <v>15800</v>
      </c>
      <c r="D442" t="s">
        <v>62</v>
      </c>
      <c r="E442" t="s">
        <v>63</v>
      </c>
      <c r="F442" t="s">
        <v>63</v>
      </c>
      <c r="G442" t="s">
        <v>63</v>
      </c>
      <c r="H442" t="s">
        <v>63</v>
      </c>
      <c r="I442">
        <v>910</v>
      </c>
      <c r="J442" t="s">
        <v>68</v>
      </c>
      <c r="K442" t="s">
        <v>68</v>
      </c>
      <c r="L442">
        <v>0</v>
      </c>
      <c r="M442">
        <v>0</v>
      </c>
      <c r="N442">
        <v>0</v>
      </c>
      <c r="O442">
        <v>44</v>
      </c>
      <c r="P442">
        <v>890</v>
      </c>
      <c r="Q442">
        <v>930</v>
      </c>
      <c r="R442">
        <v>1930</v>
      </c>
      <c r="S442">
        <v>600</v>
      </c>
    </row>
    <row r="443" spans="1:19" x14ac:dyDescent="0.4">
      <c r="A443" t="s">
        <v>67</v>
      </c>
      <c r="B443">
        <v>202112</v>
      </c>
      <c r="C443">
        <v>15800</v>
      </c>
      <c r="D443" t="s">
        <v>64</v>
      </c>
      <c r="E443">
        <v>429</v>
      </c>
      <c r="F443">
        <v>441</v>
      </c>
      <c r="G443">
        <v>429</v>
      </c>
      <c r="H443">
        <v>441</v>
      </c>
      <c r="I443">
        <v>441</v>
      </c>
      <c r="J443" t="s">
        <v>784</v>
      </c>
      <c r="K443" t="s">
        <v>785</v>
      </c>
      <c r="L443">
        <v>0</v>
      </c>
      <c r="M443">
        <v>10</v>
      </c>
      <c r="N443">
        <v>10</v>
      </c>
      <c r="O443">
        <v>394</v>
      </c>
      <c r="P443">
        <v>410</v>
      </c>
      <c r="Q443">
        <v>469</v>
      </c>
      <c r="R443">
        <v>1620</v>
      </c>
      <c r="S443">
        <v>215</v>
      </c>
    </row>
    <row r="444" spans="1:19" x14ac:dyDescent="0.4">
      <c r="A444" t="s">
        <v>67</v>
      </c>
      <c r="B444">
        <v>202112</v>
      </c>
      <c r="C444">
        <v>15900</v>
      </c>
      <c r="D444" t="s">
        <v>62</v>
      </c>
      <c r="E444" t="s">
        <v>63</v>
      </c>
      <c r="F444" t="s">
        <v>63</v>
      </c>
      <c r="G444" t="s">
        <v>63</v>
      </c>
      <c r="H444" t="s">
        <v>63</v>
      </c>
      <c r="I444">
        <v>830</v>
      </c>
      <c r="J444" t="s">
        <v>68</v>
      </c>
      <c r="K444" t="s">
        <v>68</v>
      </c>
      <c r="L444">
        <v>0</v>
      </c>
      <c r="M444">
        <v>0</v>
      </c>
      <c r="N444">
        <v>0</v>
      </c>
      <c r="O444">
        <v>0</v>
      </c>
      <c r="P444">
        <v>810</v>
      </c>
      <c r="Q444">
        <v>870</v>
      </c>
      <c r="R444" t="s">
        <v>63</v>
      </c>
      <c r="S444" t="s">
        <v>63</v>
      </c>
    </row>
    <row r="445" spans="1:19" x14ac:dyDescent="0.4">
      <c r="A445" t="s">
        <v>67</v>
      </c>
      <c r="B445">
        <v>202112</v>
      </c>
      <c r="C445">
        <v>15900</v>
      </c>
      <c r="D445" t="s">
        <v>64</v>
      </c>
      <c r="E445">
        <v>463</v>
      </c>
      <c r="F445">
        <v>463</v>
      </c>
      <c r="G445">
        <v>463</v>
      </c>
      <c r="H445">
        <v>463</v>
      </c>
      <c r="I445">
        <v>463</v>
      </c>
      <c r="J445" t="s">
        <v>274</v>
      </c>
      <c r="K445" t="s">
        <v>786</v>
      </c>
      <c r="L445">
        <v>0</v>
      </c>
      <c r="M445">
        <v>3</v>
      </c>
      <c r="N445">
        <v>3</v>
      </c>
      <c r="O445">
        <v>3</v>
      </c>
      <c r="P445">
        <v>442</v>
      </c>
      <c r="Q445">
        <v>505</v>
      </c>
      <c r="R445">
        <v>600</v>
      </c>
      <c r="S445">
        <v>330</v>
      </c>
    </row>
    <row r="446" spans="1:19" x14ac:dyDescent="0.4">
      <c r="A446" t="s">
        <v>67</v>
      </c>
      <c r="B446">
        <v>202112</v>
      </c>
      <c r="C446">
        <v>16000</v>
      </c>
      <c r="D446" t="s">
        <v>62</v>
      </c>
      <c r="E446">
        <v>800</v>
      </c>
      <c r="F446">
        <v>800</v>
      </c>
      <c r="G446">
        <v>785</v>
      </c>
      <c r="H446">
        <v>785</v>
      </c>
      <c r="I446">
        <v>785</v>
      </c>
      <c r="J446" t="s">
        <v>315</v>
      </c>
      <c r="K446" t="s">
        <v>777</v>
      </c>
      <c r="L446">
        <v>0</v>
      </c>
      <c r="M446">
        <v>4</v>
      </c>
      <c r="N446">
        <v>4</v>
      </c>
      <c r="O446">
        <v>138</v>
      </c>
      <c r="P446">
        <v>740</v>
      </c>
      <c r="Q446">
        <v>810</v>
      </c>
      <c r="R446">
        <v>1790</v>
      </c>
      <c r="S446">
        <v>470</v>
      </c>
    </row>
    <row r="447" spans="1:19" x14ac:dyDescent="0.4">
      <c r="A447" t="s">
        <v>67</v>
      </c>
      <c r="B447">
        <v>202112</v>
      </c>
      <c r="C447">
        <v>16000</v>
      </c>
      <c r="D447" t="s">
        <v>64</v>
      </c>
      <c r="E447">
        <v>491</v>
      </c>
      <c r="F447">
        <v>492</v>
      </c>
      <c r="G447">
        <v>491</v>
      </c>
      <c r="H447">
        <v>492</v>
      </c>
      <c r="I447">
        <v>515</v>
      </c>
      <c r="J447" t="s">
        <v>130</v>
      </c>
      <c r="K447" t="s">
        <v>129</v>
      </c>
      <c r="L447">
        <v>0</v>
      </c>
      <c r="M447">
        <v>3</v>
      </c>
      <c r="N447">
        <v>3</v>
      </c>
      <c r="O447">
        <v>209</v>
      </c>
      <c r="P447">
        <v>476</v>
      </c>
      <c r="Q447">
        <v>540</v>
      </c>
      <c r="R447">
        <v>2000</v>
      </c>
      <c r="S447">
        <v>258</v>
      </c>
    </row>
    <row r="448" spans="1:19" x14ac:dyDescent="0.4">
      <c r="A448" t="s">
        <v>67</v>
      </c>
      <c r="B448">
        <v>202112</v>
      </c>
      <c r="C448">
        <v>16100</v>
      </c>
      <c r="D448" t="s">
        <v>62</v>
      </c>
      <c r="E448">
        <v>790</v>
      </c>
      <c r="F448">
        <v>790</v>
      </c>
      <c r="G448">
        <v>735</v>
      </c>
      <c r="H448">
        <v>735</v>
      </c>
      <c r="I448">
        <v>710</v>
      </c>
      <c r="J448" t="s">
        <v>787</v>
      </c>
      <c r="K448" t="s">
        <v>788</v>
      </c>
      <c r="L448">
        <v>0</v>
      </c>
      <c r="M448">
        <v>6</v>
      </c>
      <c r="N448">
        <v>6</v>
      </c>
      <c r="O448">
        <v>9</v>
      </c>
      <c r="P448">
        <v>690</v>
      </c>
      <c r="Q448">
        <v>745</v>
      </c>
      <c r="R448">
        <v>920</v>
      </c>
      <c r="S448">
        <v>735</v>
      </c>
    </row>
    <row r="449" spans="1:19" x14ac:dyDescent="0.4">
      <c r="A449" t="s">
        <v>67</v>
      </c>
      <c r="B449">
        <v>202112</v>
      </c>
      <c r="C449">
        <v>16100</v>
      </c>
      <c r="D449" t="s">
        <v>64</v>
      </c>
      <c r="E449">
        <v>515</v>
      </c>
      <c r="F449">
        <v>515</v>
      </c>
      <c r="G449">
        <v>515</v>
      </c>
      <c r="H449">
        <v>515</v>
      </c>
      <c r="I449">
        <v>540</v>
      </c>
      <c r="J449" t="s">
        <v>73</v>
      </c>
      <c r="K449" s="28">
        <v>0</v>
      </c>
      <c r="L449">
        <v>0</v>
      </c>
      <c r="M449">
        <v>1</v>
      </c>
      <c r="N449">
        <v>1</v>
      </c>
      <c r="O449">
        <v>9</v>
      </c>
      <c r="P449">
        <v>520</v>
      </c>
      <c r="Q449">
        <v>565</v>
      </c>
      <c r="R449">
        <v>680</v>
      </c>
      <c r="S449">
        <v>335</v>
      </c>
    </row>
    <row r="450" spans="1:19" x14ac:dyDescent="0.4">
      <c r="A450" t="s">
        <v>67</v>
      </c>
      <c r="B450">
        <v>202112</v>
      </c>
      <c r="C450">
        <v>16200</v>
      </c>
      <c r="D450" t="s">
        <v>62</v>
      </c>
      <c r="E450">
        <v>795</v>
      </c>
      <c r="F450">
        <v>795</v>
      </c>
      <c r="G450">
        <v>795</v>
      </c>
      <c r="H450">
        <v>795</v>
      </c>
      <c r="I450">
        <v>640</v>
      </c>
      <c r="J450" t="s">
        <v>620</v>
      </c>
      <c r="K450" t="s">
        <v>789</v>
      </c>
      <c r="L450">
        <v>0</v>
      </c>
      <c r="M450">
        <v>1</v>
      </c>
      <c r="N450">
        <v>1</v>
      </c>
      <c r="O450">
        <v>36</v>
      </c>
      <c r="P450">
        <v>630</v>
      </c>
      <c r="Q450">
        <v>675</v>
      </c>
      <c r="R450">
        <v>1410</v>
      </c>
      <c r="S450">
        <v>535</v>
      </c>
    </row>
    <row r="451" spans="1:19" x14ac:dyDescent="0.4">
      <c r="A451" t="s">
        <v>67</v>
      </c>
      <c r="B451">
        <v>202112</v>
      </c>
      <c r="C451">
        <v>16200</v>
      </c>
      <c r="D451" t="s">
        <v>64</v>
      </c>
      <c r="E451">
        <v>515</v>
      </c>
      <c r="F451">
        <v>570</v>
      </c>
      <c r="G451">
        <v>515</v>
      </c>
      <c r="H451">
        <v>570</v>
      </c>
      <c r="I451">
        <v>570</v>
      </c>
      <c r="J451" t="s">
        <v>275</v>
      </c>
      <c r="K451" t="s">
        <v>132</v>
      </c>
      <c r="L451">
        <v>1</v>
      </c>
      <c r="M451">
        <v>7</v>
      </c>
      <c r="N451">
        <v>8</v>
      </c>
      <c r="O451">
        <v>6162</v>
      </c>
      <c r="P451">
        <v>560</v>
      </c>
      <c r="Q451">
        <v>605</v>
      </c>
      <c r="R451">
        <v>2000</v>
      </c>
      <c r="S451">
        <v>285</v>
      </c>
    </row>
    <row r="452" spans="1:19" x14ac:dyDescent="0.4">
      <c r="A452" t="s">
        <v>67</v>
      </c>
      <c r="B452">
        <v>202112</v>
      </c>
      <c r="C452">
        <v>16300</v>
      </c>
      <c r="D452" t="s">
        <v>62</v>
      </c>
      <c r="E452">
        <v>620</v>
      </c>
      <c r="F452">
        <v>620</v>
      </c>
      <c r="G452">
        <v>615</v>
      </c>
      <c r="H452">
        <v>615</v>
      </c>
      <c r="I452">
        <v>580</v>
      </c>
      <c r="J452" t="s">
        <v>787</v>
      </c>
      <c r="K452" t="s">
        <v>790</v>
      </c>
      <c r="L452">
        <v>0</v>
      </c>
      <c r="M452">
        <v>3</v>
      </c>
      <c r="N452">
        <v>3</v>
      </c>
      <c r="O452">
        <v>5</v>
      </c>
      <c r="P452">
        <v>555</v>
      </c>
      <c r="Q452">
        <v>625</v>
      </c>
      <c r="R452">
        <v>855</v>
      </c>
      <c r="S452">
        <v>600</v>
      </c>
    </row>
    <row r="453" spans="1:19" x14ac:dyDescent="0.4">
      <c r="A453" t="s">
        <v>67</v>
      </c>
      <c r="B453">
        <v>202112</v>
      </c>
      <c r="C453">
        <v>16300</v>
      </c>
      <c r="D453" t="s">
        <v>64</v>
      </c>
      <c r="E453">
        <v>605</v>
      </c>
      <c r="F453">
        <v>620</v>
      </c>
      <c r="G453">
        <v>605</v>
      </c>
      <c r="H453">
        <v>610</v>
      </c>
      <c r="I453">
        <v>610</v>
      </c>
      <c r="J453" t="s">
        <v>275</v>
      </c>
      <c r="K453" t="s">
        <v>791</v>
      </c>
      <c r="L453">
        <v>5</v>
      </c>
      <c r="M453">
        <v>5</v>
      </c>
      <c r="N453">
        <v>10</v>
      </c>
      <c r="O453">
        <v>14</v>
      </c>
      <c r="P453">
        <v>600</v>
      </c>
      <c r="Q453">
        <v>650</v>
      </c>
      <c r="R453">
        <v>620</v>
      </c>
      <c r="S453">
        <v>520</v>
      </c>
    </row>
    <row r="454" spans="1:19" x14ac:dyDescent="0.4">
      <c r="A454" t="s">
        <v>67</v>
      </c>
      <c r="B454">
        <v>202112</v>
      </c>
      <c r="C454">
        <v>16400</v>
      </c>
      <c r="D454" t="s">
        <v>62</v>
      </c>
      <c r="E454">
        <v>620</v>
      </c>
      <c r="F454">
        <v>620</v>
      </c>
      <c r="G454">
        <v>550</v>
      </c>
      <c r="H454">
        <v>550</v>
      </c>
      <c r="I454">
        <v>550</v>
      </c>
      <c r="J454" t="s">
        <v>381</v>
      </c>
      <c r="K454" t="s">
        <v>117</v>
      </c>
      <c r="L454">
        <v>0</v>
      </c>
      <c r="M454">
        <v>3</v>
      </c>
      <c r="N454">
        <v>3</v>
      </c>
      <c r="O454">
        <v>32</v>
      </c>
      <c r="P454">
        <v>520</v>
      </c>
      <c r="Q454">
        <v>570</v>
      </c>
      <c r="R454">
        <v>1480</v>
      </c>
      <c r="S454">
        <v>243</v>
      </c>
    </row>
    <row r="455" spans="1:19" x14ac:dyDescent="0.4">
      <c r="A455" t="s">
        <v>67</v>
      </c>
      <c r="B455">
        <v>202112</v>
      </c>
      <c r="C455">
        <v>16400</v>
      </c>
      <c r="D455" t="s">
        <v>64</v>
      </c>
      <c r="E455">
        <v>605</v>
      </c>
      <c r="F455">
        <v>605</v>
      </c>
      <c r="G455">
        <v>605</v>
      </c>
      <c r="H455">
        <v>605</v>
      </c>
      <c r="I455">
        <v>680</v>
      </c>
      <c r="J455" t="s">
        <v>83</v>
      </c>
      <c r="K455" t="s">
        <v>792</v>
      </c>
      <c r="L455">
        <v>0</v>
      </c>
      <c r="M455">
        <v>1</v>
      </c>
      <c r="N455">
        <v>1</v>
      </c>
      <c r="O455">
        <v>4195</v>
      </c>
      <c r="P455">
        <v>665</v>
      </c>
      <c r="Q455">
        <v>705</v>
      </c>
      <c r="R455">
        <v>2000</v>
      </c>
      <c r="S455">
        <v>352</v>
      </c>
    </row>
    <row r="456" spans="1:19" x14ac:dyDescent="0.4">
      <c r="A456" t="s">
        <v>67</v>
      </c>
      <c r="B456">
        <v>202112</v>
      </c>
      <c r="C456">
        <v>16500</v>
      </c>
      <c r="D456" t="s">
        <v>62</v>
      </c>
      <c r="E456" t="s">
        <v>63</v>
      </c>
      <c r="F456" t="s">
        <v>63</v>
      </c>
      <c r="G456" t="s">
        <v>63</v>
      </c>
      <c r="H456" t="s">
        <v>63</v>
      </c>
      <c r="I456">
        <v>487</v>
      </c>
      <c r="J456" t="s">
        <v>68</v>
      </c>
      <c r="K456" t="s">
        <v>68</v>
      </c>
      <c r="L456">
        <v>0</v>
      </c>
      <c r="M456">
        <v>0</v>
      </c>
      <c r="N456">
        <v>0</v>
      </c>
      <c r="O456">
        <v>20</v>
      </c>
      <c r="P456">
        <v>454</v>
      </c>
      <c r="Q456">
        <v>520</v>
      </c>
      <c r="R456">
        <v>865</v>
      </c>
      <c r="S456">
        <v>480</v>
      </c>
    </row>
    <row r="457" spans="1:19" x14ac:dyDescent="0.4">
      <c r="A457" t="s">
        <v>67</v>
      </c>
      <c r="B457">
        <v>202112</v>
      </c>
      <c r="C457">
        <v>16500</v>
      </c>
      <c r="D457" t="s">
        <v>64</v>
      </c>
      <c r="E457">
        <v>630</v>
      </c>
      <c r="F457">
        <v>715</v>
      </c>
      <c r="G457">
        <v>630</v>
      </c>
      <c r="H457">
        <v>715</v>
      </c>
      <c r="I457">
        <v>715</v>
      </c>
      <c r="J457" t="s">
        <v>622</v>
      </c>
      <c r="K457" t="s">
        <v>623</v>
      </c>
      <c r="L457">
        <v>12</v>
      </c>
      <c r="M457">
        <v>3</v>
      </c>
      <c r="N457">
        <v>15</v>
      </c>
      <c r="O457">
        <v>30</v>
      </c>
      <c r="P457">
        <v>695</v>
      </c>
      <c r="Q457">
        <v>740</v>
      </c>
      <c r="R457">
        <v>755</v>
      </c>
      <c r="S457">
        <v>437</v>
      </c>
    </row>
    <row r="458" spans="1:19" x14ac:dyDescent="0.4">
      <c r="A458" t="s">
        <v>67</v>
      </c>
      <c r="B458">
        <v>202112</v>
      </c>
      <c r="C458">
        <v>16600</v>
      </c>
      <c r="D458" t="s">
        <v>62</v>
      </c>
      <c r="E458" t="s">
        <v>63</v>
      </c>
      <c r="F458" t="s">
        <v>63</v>
      </c>
      <c r="G458" t="s">
        <v>63</v>
      </c>
      <c r="H458" t="s">
        <v>63</v>
      </c>
      <c r="I458">
        <v>438</v>
      </c>
      <c r="J458" t="s">
        <v>68</v>
      </c>
      <c r="K458" t="s">
        <v>68</v>
      </c>
      <c r="L458">
        <v>0</v>
      </c>
      <c r="M458">
        <v>0</v>
      </c>
      <c r="N458">
        <v>0</v>
      </c>
      <c r="O458">
        <v>38</v>
      </c>
      <c r="P458">
        <v>405</v>
      </c>
      <c r="Q458">
        <v>469</v>
      </c>
      <c r="R458">
        <v>1350</v>
      </c>
      <c r="S458">
        <v>332</v>
      </c>
    </row>
    <row r="459" spans="1:19" x14ac:dyDescent="0.4">
      <c r="A459" t="s">
        <v>67</v>
      </c>
      <c r="B459">
        <v>202112</v>
      </c>
      <c r="C459">
        <v>16600</v>
      </c>
      <c r="D459" t="s">
        <v>64</v>
      </c>
      <c r="E459" t="s">
        <v>63</v>
      </c>
      <c r="F459" t="s">
        <v>63</v>
      </c>
      <c r="G459" t="s">
        <v>63</v>
      </c>
      <c r="H459" t="s">
        <v>63</v>
      </c>
      <c r="I459">
        <v>770</v>
      </c>
      <c r="J459" t="s">
        <v>68</v>
      </c>
      <c r="K459" t="s">
        <v>68</v>
      </c>
      <c r="L459">
        <v>3</v>
      </c>
      <c r="M459">
        <v>0</v>
      </c>
      <c r="N459">
        <v>3</v>
      </c>
      <c r="O459">
        <v>35</v>
      </c>
      <c r="P459">
        <v>745</v>
      </c>
      <c r="Q459">
        <v>795</v>
      </c>
      <c r="R459">
        <v>2240</v>
      </c>
      <c r="S459">
        <v>375</v>
      </c>
    </row>
    <row r="460" spans="1:19" x14ac:dyDescent="0.4">
      <c r="A460" t="s">
        <v>67</v>
      </c>
      <c r="B460">
        <v>202112</v>
      </c>
      <c r="C460">
        <v>16700</v>
      </c>
      <c r="D460" t="s">
        <v>62</v>
      </c>
      <c r="E460">
        <v>478</v>
      </c>
      <c r="F460">
        <v>478</v>
      </c>
      <c r="G460">
        <v>449</v>
      </c>
      <c r="H460">
        <v>449</v>
      </c>
      <c r="I460">
        <v>394</v>
      </c>
      <c r="J460" t="s">
        <v>793</v>
      </c>
      <c r="K460" t="s">
        <v>794</v>
      </c>
      <c r="L460">
        <v>5</v>
      </c>
      <c r="M460">
        <v>4</v>
      </c>
      <c r="N460">
        <v>9</v>
      </c>
      <c r="O460">
        <v>52</v>
      </c>
      <c r="P460">
        <v>372</v>
      </c>
      <c r="Q460">
        <v>408</v>
      </c>
      <c r="R460">
        <v>685</v>
      </c>
      <c r="S460">
        <v>360</v>
      </c>
    </row>
    <row r="461" spans="1:19" x14ac:dyDescent="0.4">
      <c r="A461" t="s">
        <v>67</v>
      </c>
      <c r="B461">
        <v>202112</v>
      </c>
      <c r="C461">
        <v>16700</v>
      </c>
      <c r="D461" t="s">
        <v>64</v>
      </c>
      <c r="E461">
        <v>725</v>
      </c>
      <c r="F461">
        <v>825</v>
      </c>
      <c r="G461">
        <v>725</v>
      </c>
      <c r="H461">
        <v>825</v>
      </c>
      <c r="I461">
        <v>825</v>
      </c>
      <c r="J461" t="s">
        <v>461</v>
      </c>
      <c r="K461" t="s">
        <v>732</v>
      </c>
      <c r="L461">
        <v>0</v>
      </c>
      <c r="M461">
        <v>4</v>
      </c>
      <c r="N461">
        <v>4</v>
      </c>
      <c r="O461">
        <v>5977</v>
      </c>
      <c r="P461">
        <v>800</v>
      </c>
      <c r="Q461">
        <v>845</v>
      </c>
      <c r="R461">
        <v>825</v>
      </c>
      <c r="S461">
        <v>570</v>
      </c>
    </row>
    <row r="462" spans="1:19" x14ac:dyDescent="0.4">
      <c r="A462" t="s">
        <v>67</v>
      </c>
      <c r="B462">
        <v>202112</v>
      </c>
      <c r="C462">
        <v>16800</v>
      </c>
      <c r="D462" t="s">
        <v>62</v>
      </c>
      <c r="E462">
        <v>379</v>
      </c>
      <c r="F462">
        <v>379</v>
      </c>
      <c r="G462">
        <v>379</v>
      </c>
      <c r="H462">
        <v>379</v>
      </c>
      <c r="I462">
        <v>370</v>
      </c>
      <c r="J462" t="s">
        <v>137</v>
      </c>
      <c r="K462" t="s">
        <v>795</v>
      </c>
      <c r="L462">
        <v>0</v>
      </c>
      <c r="M462">
        <v>3</v>
      </c>
      <c r="N462">
        <v>3</v>
      </c>
      <c r="O462">
        <v>43</v>
      </c>
      <c r="P462">
        <v>319</v>
      </c>
      <c r="Q462">
        <v>380</v>
      </c>
      <c r="R462">
        <v>1220</v>
      </c>
      <c r="S462">
        <v>278</v>
      </c>
    </row>
    <row r="463" spans="1:19" x14ac:dyDescent="0.4">
      <c r="A463" t="s">
        <v>67</v>
      </c>
      <c r="B463">
        <v>202112</v>
      </c>
      <c r="C463">
        <v>16800</v>
      </c>
      <c r="D463" t="s">
        <v>64</v>
      </c>
      <c r="E463" t="s">
        <v>63</v>
      </c>
      <c r="F463" t="s">
        <v>63</v>
      </c>
      <c r="G463" t="s">
        <v>63</v>
      </c>
      <c r="H463" t="s">
        <v>63</v>
      </c>
      <c r="I463">
        <v>900</v>
      </c>
      <c r="J463" t="s">
        <v>68</v>
      </c>
      <c r="K463" t="s">
        <v>68</v>
      </c>
      <c r="L463">
        <v>0</v>
      </c>
      <c r="M463">
        <v>0</v>
      </c>
      <c r="N463">
        <v>0</v>
      </c>
      <c r="O463">
        <v>55</v>
      </c>
      <c r="P463">
        <v>855</v>
      </c>
      <c r="Q463">
        <v>900</v>
      </c>
      <c r="R463">
        <v>2370</v>
      </c>
      <c r="S463">
        <v>425</v>
      </c>
    </row>
    <row r="464" spans="1:19" x14ac:dyDescent="0.4">
      <c r="A464" t="s">
        <v>67</v>
      </c>
      <c r="B464">
        <v>202112</v>
      </c>
      <c r="C464">
        <v>16900</v>
      </c>
      <c r="D464" t="s">
        <v>62</v>
      </c>
      <c r="E464" t="s">
        <v>63</v>
      </c>
      <c r="F464" t="s">
        <v>63</v>
      </c>
      <c r="G464" t="s">
        <v>63</v>
      </c>
      <c r="H464" t="s">
        <v>63</v>
      </c>
      <c r="I464">
        <v>313</v>
      </c>
      <c r="J464" t="s">
        <v>68</v>
      </c>
      <c r="K464" t="s">
        <v>68</v>
      </c>
      <c r="L464">
        <v>0</v>
      </c>
      <c r="M464">
        <v>0</v>
      </c>
      <c r="N464">
        <v>0</v>
      </c>
      <c r="O464">
        <v>22</v>
      </c>
      <c r="P464">
        <v>289</v>
      </c>
      <c r="Q464">
        <v>325</v>
      </c>
      <c r="R464">
        <v>760</v>
      </c>
      <c r="S464">
        <v>317</v>
      </c>
    </row>
    <row r="465" spans="1:19" x14ac:dyDescent="0.4">
      <c r="A465" t="s">
        <v>67</v>
      </c>
      <c r="B465">
        <v>202112</v>
      </c>
      <c r="C465">
        <v>16900</v>
      </c>
      <c r="D465" t="s">
        <v>64</v>
      </c>
      <c r="E465" t="s">
        <v>63</v>
      </c>
      <c r="F465" t="s">
        <v>63</v>
      </c>
      <c r="G465" t="s">
        <v>63</v>
      </c>
      <c r="H465" t="s">
        <v>63</v>
      </c>
      <c r="I465">
        <v>945</v>
      </c>
      <c r="J465" t="s">
        <v>68</v>
      </c>
      <c r="K465" t="s">
        <v>68</v>
      </c>
      <c r="L465">
        <v>0</v>
      </c>
      <c r="M465">
        <v>0</v>
      </c>
      <c r="N465">
        <v>0</v>
      </c>
      <c r="O465">
        <v>3</v>
      </c>
      <c r="P465">
        <v>800</v>
      </c>
      <c r="Q465">
        <v>1050</v>
      </c>
      <c r="R465">
        <v>800</v>
      </c>
      <c r="S465">
        <v>680</v>
      </c>
    </row>
    <row r="466" spans="1:19" x14ac:dyDescent="0.4">
      <c r="A466" t="s">
        <v>67</v>
      </c>
      <c r="B466">
        <v>202112</v>
      </c>
      <c r="C466">
        <v>17000</v>
      </c>
      <c r="D466" t="s">
        <v>62</v>
      </c>
      <c r="E466">
        <v>350</v>
      </c>
      <c r="F466">
        <v>350</v>
      </c>
      <c r="G466">
        <v>276</v>
      </c>
      <c r="H466">
        <v>276</v>
      </c>
      <c r="I466">
        <v>276</v>
      </c>
      <c r="J466" t="s">
        <v>137</v>
      </c>
      <c r="K466" t="s">
        <v>796</v>
      </c>
      <c r="L466">
        <v>5</v>
      </c>
      <c r="M466">
        <v>23</v>
      </c>
      <c r="N466">
        <v>28</v>
      </c>
      <c r="O466">
        <v>100</v>
      </c>
      <c r="P466">
        <v>271</v>
      </c>
      <c r="Q466">
        <v>302</v>
      </c>
      <c r="R466">
        <v>1090</v>
      </c>
      <c r="S466">
        <v>210</v>
      </c>
    </row>
    <row r="467" spans="1:19" x14ac:dyDescent="0.4">
      <c r="A467" t="s">
        <v>67</v>
      </c>
      <c r="B467">
        <v>202112</v>
      </c>
      <c r="C467">
        <v>17000</v>
      </c>
      <c r="D467" t="s">
        <v>64</v>
      </c>
      <c r="E467">
        <v>915</v>
      </c>
      <c r="F467">
        <v>915</v>
      </c>
      <c r="G467">
        <v>915</v>
      </c>
      <c r="H467">
        <v>915</v>
      </c>
      <c r="I467">
        <v>1010</v>
      </c>
      <c r="J467" t="s">
        <v>87</v>
      </c>
      <c r="K467" t="s">
        <v>416</v>
      </c>
      <c r="L467">
        <v>0</v>
      </c>
      <c r="M467">
        <v>1</v>
      </c>
      <c r="N467">
        <v>1</v>
      </c>
      <c r="O467">
        <v>139</v>
      </c>
      <c r="P467">
        <v>860</v>
      </c>
      <c r="Q467">
        <v>1110</v>
      </c>
      <c r="R467">
        <v>2420</v>
      </c>
      <c r="S467">
        <v>496</v>
      </c>
    </row>
    <row r="468" spans="1:19" x14ac:dyDescent="0.4">
      <c r="A468" t="s">
        <v>67</v>
      </c>
      <c r="B468">
        <v>202112</v>
      </c>
      <c r="C468">
        <v>17100</v>
      </c>
      <c r="D468" t="s">
        <v>62</v>
      </c>
      <c r="E468">
        <v>318</v>
      </c>
      <c r="F468">
        <v>318</v>
      </c>
      <c r="G468">
        <v>318</v>
      </c>
      <c r="H468">
        <v>318</v>
      </c>
      <c r="I468">
        <v>242</v>
      </c>
      <c r="J468" t="s">
        <v>797</v>
      </c>
      <c r="K468" t="s">
        <v>798</v>
      </c>
      <c r="L468">
        <v>1</v>
      </c>
      <c r="M468">
        <v>2</v>
      </c>
      <c r="N468">
        <v>3</v>
      </c>
      <c r="O468">
        <v>6</v>
      </c>
      <c r="P468">
        <v>221</v>
      </c>
      <c r="Q468">
        <v>253</v>
      </c>
      <c r="R468">
        <v>540</v>
      </c>
      <c r="S468">
        <v>250</v>
      </c>
    </row>
    <row r="469" spans="1:19" x14ac:dyDescent="0.4">
      <c r="A469" t="s">
        <v>67</v>
      </c>
      <c r="B469">
        <v>202112</v>
      </c>
      <c r="C469">
        <v>17100</v>
      </c>
      <c r="D469" t="s">
        <v>64</v>
      </c>
      <c r="E469" t="s">
        <v>63</v>
      </c>
      <c r="F469" t="s">
        <v>63</v>
      </c>
      <c r="G469" t="s">
        <v>63</v>
      </c>
      <c r="H469" t="s">
        <v>63</v>
      </c>
      <c r="I469">
        <v>1070</v>
      </c>
      <c r="J469" t="s">
        <v>68</v>
      </c>
      <c r="K469" t="s">
        <v>68</v>
      </c>
      <c r="L469">
        <v>0</v>
      </c>
      <c r="M469">
        <v>0</v>
      </c>
      <c r="N469">
        <v>0</v>
      </c>
      <c r="O469">
        <v>10</v>
      </c>
      <c r="P469">
        <v>930</v>
      </c>
      <c r="Q469">
        <v>1170</v>
      </c>
      <c r="R469">
        <v>800</v>
      </c>
      <c r="S469">
        <v>595</v>
      </c>
    </row>
    <row r="470" spans="1:19" x14ac:dyDescent="0.4">
      <c r="A470" t="s">
        <v>67</v>
      </c>
      <c r="B470">
        <v>202112</v>
      </c>
      <c r="C470">
        <v>17200</v>
      </c>
      <c r="D470" t="s">
        <v>62</v>
      </c>
      <c r="E470">
        <v>278</v>
      </c>
      <c r="F470">
        <v>278</v>
      </c>
      <c r="G470">
        <v>211</v>
      </c>
      <c r="H470">
        <v>211</v>
      </c>
      <c r="I470">
        <v>211</v>
      </c>
      <c r="J470" t="s">
        <v>137</v>
      </c>
      <c r="K470" t="s">
        <v>799</v>
      </c>
      <c r="L470">
        <v>1</v>
      </c>
      <c r="M470">
        <v>15</v>
      </c>
      <c r="N470">
        <v>16</v>
      </c>
      <c r="O470">
        <v>621</v>
      </c>
      <c r="P470">
        <v>200</v>
      </c>
      <c r="Q470">
        <v>218</v>
      </c>
      <c r="R470">
        <v>1000</v>
      </c>
      <c r="S470">
        <v>200</v>
      </c>
    </row>
    <row r="471" spans="1:19" x14ac:dyDescent="0.4">
      <c r="A471" t="s">
        <v>67</v>
      </c>
      <c r="B471">
        <v>202112</v>
      </c>
      <c r="C471">
        <v>17200</v>
      </c>
      <c r="D471" t="s">
        <v>64</v>
      </c>
      <c r="E471" t="s">
        <v>63</v>
      </c>
      <c r="F471" t="s">
        <v>63</v>
      </c>
      <c r="G471" t="s">
        <v>63</v>
      </c>
      <c r="H471" t="s">
        <v>63</v>
      </c>
      <c r="I471">
        <v>1140</v>
      </c>
      <c r="J471" t="s">
        <v>68</v>
      </c>
      <c r="K471" t="s">
        <v>68</v>
      </c>
      <c r="L471">
        <v>0</v>
      </c>
      <c r="M471">
        <v>0</v>
      </c>
      <c r="N471">
        <v>0</v>
      </c>
      <c r="O471">
        <v>87</v>
      </c>
      <c r="P471">
        <v>1110</v>
      </c>
      <c r="Q471">
        <v>1170</v>
      </c>
      <c r="R471">
        <v>2700</v>
      </c>
      <c r="S471">
        <v>560</v>
      </c>
    </row>
    <row r="472" spans="1:19" x14ac:dyDescent="0.4">
      <c r="A472" t="s">
        <v>67</v>
      </c>
      <c r="B472">
        <v>202112</v>
      </c>
      <c r="C472">
        <v>17300</v>
      </c>
      <c r="D472" t="s">
        <v>62</v>
      </c>
      <c r="E472">
        <v>197</v>
      </c>
      <c r="F472">
        <v>197</v>
      </c>
      <c r="G472">
        <v>189</v>
      </c>
      <c r="H472">
        <v>189</v>
      </c>
      <c r="I472">
        <v>189</v>
      </c>
      <c r="J472" t="s">
        <v>140</v>
      </c>
      <c r="K472" t="s">
        <v>800</v>
      </c>
      <c r="L472">
        <v>1</v>
      </c>
      <c r="M472">
        <v>3</v>
      </c>
      <c r="N472">
        <v>4</v>
      </c>
      <c r="O472">
        <v>28</v>
      </c>
      <c r="P472">
        <v>102</v>
      </c>
      <c r="Q472">
        <v>189</v>
      </c>
      <c r="R472">
        <v>560</v>
      </c>
      <c r="S472">
        <v>189</v>
      </c>
    </row>
    <row r="473" spans="1:19" x14ac:dyDescent="0.4">
      <c r="A473" t="s">
        <v>67</v>
      </c>
      <c r="B473">
        <v>202112</v>
      </c>
      <c r="C473">
        <v>17300</v>
      </c>
      <c r="D473" t="s">
        <v>64</v>
      </c>
      <c r="E473" t="s">
        <v>63</v>
      </c>
      <c r="F473" t="s">
        <v>63</v>
      </c>
      <c r="G473" t="s">
        <v>63</v>
      </c>
      <c r="H473" t="s">
        <v>63</v>
      </c>
      <c r="I473">
        <v>1220</v>
      </c>
      <c r="J473" t="s">
        <v>68</v>
      </c>
      <c r="K473" s="28" t="s">
        <v>68</v>
      </c>
      <c r="L473">
        <v>0</v>
      </c>
      <c r="M473">
        <v>0</v>
      </c>
      <c r="N473">
        <v>0</v>
      </c>
      <c r="O473">
        <v>1</v>
      </c>
      <c r="P473">
        <v>1070</v>
      </c>
      <c r="Q473">
        <v>1340</v>
      </c>
      <c r="R473">
        <v>610</v>
      </c>
      <c r="S473">
        <v>610</v>
      </c>
    </row>
    <row r="474" spans="1:19" x14ac:dyDescent="0.4">
      <c r="A474" t="s">
        <v>67</v>
      </c>
      <c r="B474">
        <v>202112</v>
      </c>
      <c r="C474">
        <v>17400</v>
      </c>
      <c r="D474" t="s">
        <v>62</v>
      </c>
      <c r="E474" t="s">
        <v>63</v>
      </c>
      <c r="F474" t="s">
        <v>63</v>
      </c>
      <c r="G474" t="s">
        <v>63</v>
      </c>
      <c r="H474" t="s">
        <v>63</v>
      </c>
      <c r="I474">
        <v>163</v>
      </c>
      <c r="J474" t="s">
        <v>68</v>
      </c>
      <c r="K474" t="s">
        <v>68</v>
      </c>
      <c r="L474">
        <v>0</v>
      </c>
      <c r="M474">
        <v>0</v>
      </c>
      <c r="N474">
        <v>0</v>
      </c>
      <c r="O474">
        <v>120</v>
      </c>
      <c r="P474">
        <v>139</v>
      </c>
      <c r="Q474">
        <v>170</v>
      </c>
      <c r="R474">
        <v>875</v>
      </c>
      <c r="S474">
        <v>168</v>
      </c>
    </row>
    <row r="475" spans="1:19" x14ac:dyDescent="0.4">
      <c r="A475" t="s">
        <v>67</v>
      </c>
      <c r="B475">
        <v>202112</v>
      </c>
      <c r="C475">
        <v>17400</v>
      </c>
      <c r="D475" t="s">
        <v>64</v>
      </c>
      <c r="E475" t="s">
        <v>63</v>
      </c>
      <c r="F475" t="s">
        <v>63</v>
      </c>
      <c r="G475" t="s">
        <v>63</v>
      </c>
      <c r="H475" t="s">
        <v>63</v>
      </c>
      <c r="I475">
        <v>1290</v>
      </c>
      <c r="J475" t="s">
        <v>68</v>
      </c>
      <c r="K475" s="28" t="s">
        <v>68</v>
      </c>
      <c r="L475">
        <v>0</v>
      </c>
      <c r="M475">
        <v>0</v>
      </c>
      <c r="N475">
        <v>0</v>
      </c>
      <c r="O475">
        <v>13</v>
      </c>
      <c r="P475">
        <v>1120</v>
      </c>
      <c r="Q475">
        <v>1420</v>
      </c>
      <c r="R475">
        <v>1400</v>
      </c>
      <c r="S475">
        <v>660</v>
      </c>
    </row>
    <row r="476" spans="1:19" x14ac:dyDescent="0.4">
      <c r="A476" t="s">
        <v>67</v>
      </c>
      <c r="B476">
        <v>202112</v>
      </c>
      <c r="C476">
        <v>17500</v>
      </c>
      <c r="D476" t="s">
        <v>62</v>
      </c>
      <c r="E476" t="s">
        <v>63</v>
      </c>
      <c r="F476" t="s">
        <v>63</v>
      </c>
      <c r="G476" t="s">
        <v>63</v>
      </c>
      <c r="H476" t="s">
        <v>63</v>
      </c>
      <c r="I476">
        <v>143</v>
      </c>
      <c r="J476" t="s">
        <v>68</v>
      </c>
      <c r="K476" t="s">
        <v>68</v>
      </c>
      <c r="L476">
        <v>4</v>
      </c>
      <c r="M476">
        <v>0</v>
      </c>
      <c r="N476">
        <v>4</v>
      </c>
      <c r="O476">
        <v>15</v>
      </c>
      <c r="P476">
        <v>116</v>
      </c>
      <c r="Q476">
        <v>151</v>
      </c>
      <c r="R476">
        <v>474</v>
      </c>
      <c r="S476">
        <v>143</v>
      </c>
    </row>
    <row r="477" spans="1:19" x14ac:dyDescent="0.4">
      <c r="A477" t="s">
        <v>67</v>
      </c>
      <c r="B477">
        <v>202112</v>
      </c>
      <c r="C477">
        <v>17500</v>
      </c>
      <c r="D477" t="s">
        <v>64</v>
      </c>
      <c r="E477" t="s">
        <v>63</v>
      </c>
      <c r="F477" t="s">
        <v>63</v>
      </c>
      <c r="G477" t="s">
        <v>63</v>
      </c>
      <c r="H477" t="s">
        <v>63</v>
      </c>
      <c r="I477">
        <v>1370</v>
      </c>
      <c r="J477" t="s">
        <v>68</v>
      </c>
      <c r="K477" t="s">
        <v>68</v>
      </c>
      <c r="L477">
        <v>0</v>
      </c>
      <c r="M477">
        <v>0</v>
      </c>
      <c r="N477">
        <v>0</v>
      </c>
      <c r="O477">
        <v>1</v>
      </c>
      <c r="P477">
        <v>1190</v>
      </c>
      <c r="Q477">
        <v>1490</v>
      </c>
      <c r="R477">
        <v>1110</v>
      </c>
      <c r="S477">
        <v>960</v>
      </c>
    </row>
    <row r="478" spans="1:19" x14ac:dyDescent="0.4">
      <c r="A478" t="s">
        <v>67</v>
      </c>
      <c r="B478">
        <v>202112</v>
      </c>
      <c r="C478">
        <v>17600</v>
      </c>
      <c r="D478" t="s">
        <v>62</v>
      </c>
      <c r="E478">
        <v>135</v>
      </c>
      <c r="F478">
        <v>135</v>
      </c>
      <c r="G478">
        <v>115</v>
      </c>
      <c r="H478">
        <v>116</v>
      </c>
      <c r="I478">
        <v>116</v>
      </c>
      <c r="J478" t="s">
        <v>138</v>
      </c>
      <c r="K478" s="28" t="s">
        <v>801</v>
      </c>
      <c r="L478">
        <v>2</v>
      </c>
      <c r="M478">
        <v>4</v>
      </c>
      <c r="N478">
        <v>6</v>
      </c>
      <c r="O478">
        <v>118</v>
      </c>
      <c r="P478">
        <v>98</v>
      </c>
      <c r="Q478">
        <v>131</v>
      </c>
      <c r="R478">
        <v>750</v>
      </c>
      <c r="S478">
        <v>109</v>
      </c>
    </row>
    <row r="479" spans="1:19" x14ac:dyDescent="0.4">
      <c r="A479" t="s">
        <v>67</v>
      </c>
      <c r="B479">
        <v>202112</v>
      </c>
      <c r="C479">
        <v>17600</v>
      </c>
      <c r="D479" t="s">
        <v>64</v>
      </c>
      <c r="E479" t="s">
        <v>63</v>
      </c>
      <c r="F479" t="s">
        <v>63</v>
      </c>
      <c r="G479" t="s">
        <v>63</v>
      </c>
      <c r="H479" t="s">
        <v>63</v>
      </c>
      <c r="I479">
        <v>1450</v>
      </c>
      <c r="J479" t="s">
        <v>68</v>
      </c>
      <c r="K479" t="s">
        <v>68</v>
      </c>
      <c r="L479">
        <v>0</v>
      </c>
      <c r="M479">
        <v>0</v>
      </c>
      <c r="N479">
        <v>0</v>
      </c>
      <c r="O479">
        <v>34</v>
      </c>
      <c r="P479">
        <v>1270</v>
      </c>
      <c r="Q479">
        <v>1570</v>
      </c>
      <c r="R479">
        <v>2500</v>
      </c>
      <c r="S479">
        <v>730</v>
      </c>
    </row>
    <row r="480" spans="1:19" x14ac:dyDescent="0.4">
      <c r="A480" t="s">
        <v>67</v>
      </c>
      <c r="B480">
        <v>202112</v>
      </c>
      <c r="C480">
        <v>17700</v>
      </c>
      <c r="D480" t="s">
        <v>62</v>
      </c>
      <c r="E480">
        <v>138</v>
      </c>
      <c r="F480">
        <v>138</v>
      </c>
      <c r="G480">
        <v>119</v>
      </c>
      <c r="H480">
        <v>120</v>
      </c>
      <c r="I480">
        <v>108</v>
      </c>
      <c r="J480" t="s">
        <v>275</v>
      </c>
      <c r="K480" t="s">
        <v>802</v>
      </c>
      <c r="L480">
        <v>0</v>
      </c>
      <c r="M480">
        <v>3</v>
      </c>
      <c r="N480">
        <v>3</v>
      </c>
      <c r="O480">
        <v>49</v>
      </c>
      <c r="P480">
        <v>95</v>
      </c>
      <c r="Q480">
        <v>120</v>
      </c>
      <c r="R480">
        <v>377</v>
      </c>
      <c r="S480">
        <v>99</v>
      </c>
    </row>
    <row r="481" spans="1:19" x14ac:dyDescent="0.4">
      <c r="A481" t="s">
        <v>67</v>
      </c>
      <c r="B481">
        <v>202112</v>
      </c>
      <c r="C481">
        <v>17700</v>
      </c>
      <c r="D481" t="s">
        <v>64</v>
      </c>
      <c r="E481" t="s">
        <v>63</v>
      </c>
      <c r="F481" t="s">
        <v>63</v>
      </c>
      <c r="G481" t="s">
        <v>63</v>
      </c>
      <c r="H481" t="s">
        <v>63</v>
      </c>
      <c r="I481">
        <v>1540</v>
      </c>
      <c r="J481" t="s">
        <v>68</v>
      </c>
      <c r="K481" t="s">
        <v>68</v>
      </c>
      <c r="L481">
        <v>0</v>
      </c>
      <c r="M481">
        <v>0</v>
      </c>
      <c r="N481">
        <v>0</v>
      </c>
      <c r="O481">
        <v>0</v>
      </c>
      <c r="P481">
        <v>1350</v>
      </c>
      <c r="Q481">
        <v>1660</v>
      </c>
      <c r="R481" t="s">
        <v>63</v>
      </c>
      <c r="S481" t="s">
        <v>63</v>
      </c>
    </row>
    <row r="482" spans="1:19" x14ac:dyDescent="0.4">
      <c r="A482" t="s">
        <v>67</v>
      </c>
      <c r="B482">
        <v>202112</v>
      </c>
      <c r="C482">
        <v>17800</v>
      </c>
      <c r="D482" t="s">
        <v>62</v>
      </c>
      <c r="E482">
        <v>91</v>
      </c>
      <c r="F482">
        <v>93</v>
      </c>
      <c r="G482">
        <v>87</v>
      </c>
      <c r="H482">
        <v>93</v>
      </c>
      <c r="I482">
        <v>93</v>
      </c>
      <c r="J482" t="s">
        <v>82</v>
      </c>
      <c r="K482" t="s">
        <v>803</v>
      </c>
      <c r="L482">
        <v>0</v>
      </c>
      <c r="M482">
        <v>5</v>
      </c>
      <c r="N482">
        <v>5</v>
      </c>
      <c r="O482">
        <v>223</v>
      </c>
      <c r="P482">
        <v>80</v>
      </c>
      <c r="Q482">
        <v>224</v>
      </c>
      <c r="R482">
        <v>650</v>
      </c>
      <c r="S482">
        <v>29</v>
      </c>
    </row>
    <row r="483" spans="1:19" x14ac:dyDescent="0.4">
      <c r="A483" t="s">
        <v>67</v>
      </c>
      <c r="B483">
        <v>202112</v>
      </c>
      <c r="C483">
        <v>17800</v>
      </c>
      <c r="D483" t="s">
        <v>64</v>
      </c>
      <c r="E483" t="s">
        <v>63</v>
      </c>
      <c r="F483" t="s">
        <v>63</v>
      </c>
      <c r="G483" t="s">
        <v>63</v>
      </c>
      <c r="H483" t="s">
        <v>63</v>
      </c>
      <c r="I483">
        <v>1620</v>
      </c>
      <c r="J483" t="s">
        <v>68</v>
      </c>
      <c r="K483" t="s">
        <v>68</v>
      </c>
      <c r="L483">
        <v>0</v>
      </c>
      <c r="M483">
        <v>0</v>
      </c>
      <c r="N483">
        <v>0</v>
      </c>
      <c r="O483">
        <v>5</v>
      </c>
      <c r="P483">
        <v>1440</v>
      </c>
      <c r="Q483">
        <v>1750</v>
      </c>
      <c r="R483">
        <v>1340</v>
      </c>
      <c r="S483">
        <v>900</v>
      </c>
    </row>
    <row r="484" spans="1:19" x14ac:dyDescent="0.4">
      <c r="A484" t="s">
        <v>67</v>
      </c>
      <c r="B484">
        <v>202112</v>
      </c>
      <c r="C484">
        <v>17900</v>
      </c>
      <c r="D484" t="s">
        <v>62</v>
      </c>
      <c r="E484">
        <v>83</v>
      </c>
      <c r="F484">
        <v>83</v>
      </c>
      <c r="G484">
        <v>77</v>
      </c>
      <c r="H484">
        <v>77</v>
      </c>
      <c r="I484">
        <v>77</v>
      </c>
      <c r="J484" t="s">
        <v>116</v>
      </c>
      <c r="K484" t="s">
        <v>804</v>
      </c>
      <c r="L484">
        <v>0</v>
      </c>
      <c r="M484">
        <v>21</v>
      </c>
      <c r="N484">
        <v>21</v>
      </c>
      <c r="O484">
        <v>17</v>
      </c>
      <c r="P484">
        <v>30</v>
      </c>
      <c r="Q484">
        <v>212</v>
      </c>
      <c r="R484">
        <v>267</v>
      </c>
      <c r="S484">
        <v>70</v>
      </c>
    </row>
    <row r="485" spans="1:19" x14ac:dyDescent="0.4">
      <c r="A485" t="s">
        <v>67</v>
      </c>
      <c r="B485">
        <v>202112</v>
      </c>
      <c r="C485">
        <v>17900</v>
      </c>
      <c r="D485" t="s">
        <v>64</v>
      </c>
      <c r="E485" t="s">
        <v>63</v>
      </c>
      <c r="F485" t="s">
        <v>63</v>
      </c>
      <c r="G485" t="s">
        <v>63</v>
      </c>
      <c r="H485" t="s">
        <v>63</v>
      </c>
      <c r="I485">
        <v>1710</v>
      </c>
      <c r="J485" t="s">
        <v>68</v>
      </c>
      <c r="K485" t="s">
        <v>68</v>
      </c>
      <c r="L485">
        <v>0</v>
      </c>
      <c r="M485">
        <v>0</v>
      </c>
      <c r="N485">
        <v>0</v>
      </c>
      <c r="O485">
        <v>0</v>
      </c>
      <c r="P485">
        <v>1520</v>
      </c>
      <c r="Q485">
        <v>1820</v>
      </c>
      <c r="R485" t="s">
        <v>63</v>
      </c>
      <c r="S485" t="s">
        <v>63</v>
      </c>
    </row>
    <row r="486" spans="1:19" x14ac:dyDescent="0.4">
      <c r="A486" t="s">
        <v>67</v>
      </c>
      <c r="B486">
        <v>202112</v>
      </c>
      <c r="C486">
        <v>18000</v>
      </c>
      <c r="D486" t="s">
        <v>62</v>
      </c>
      <c r="E486">
        <v>79</v>
      </c>
      <c r="F486">
        <v>83</v>
      </c>
      <c r="G486">
        <v>65</v>
      </c>
      <c r="H486">
        <v>65</v>
      </c>
      <c r="I486">
        <v>65</v>
      </c>
      <c r="J486" t="s">
        <v>130</v>
      </c>
      <c r="K486" t="s">
        <v>805</v>
      </c>
      <c r="L486">
        <v>0</v>
      </c>
      <c r="M486">
        <v>18</v>
      </c>
      <c r="N486">
        <v>18</v>
      </c>
      <c r="O486">
        <v>444</v>
      </c>
      <c r="P486">
        <v>56</v>
      </c>
      <c r="Q486">
        <v>68</v>
      </c>
      <c r="R486">
        <v>555</v>
      </c>
      <c r="S486">
        <v>9</v>
      </c>
    </row>
    <row r="487" spans="1:19" x14ac:dyDescent="0.4">
      <c r="A487" t="s">
        <v>67</v>
      </c>
      <c r="B487">
        <v>202112</v>
      </c>
      <c r="C487">
        <v>18000</v>
      </c>
      <c r="D487" t="s">
        <v>64</v>
      </c>
      <c r="E487" t="s">
        <v>63</v>
      </c>
      <c r="F487" t="s">
        <v>63</v>
      </c>
      <c r="G487" t="s">
        <v>63</v>
      </c>
      <c r="H487" t="s">
        <v>63</v>
      </c>
      <c r="I487">
        <v>1790</v>
      </c>
      <c r="J487" t="s">
        <v>68</v>
      </c>
      <c r="K487" t="s">
        <v>68</v>
      </c>
      <c r="L487">
        <v>0</v>
      </c>
      <c r="M487">
        <v>0</v>
      </c>
      <c r="N487">
        <v>0</v>
      </c>
      <c r="O487">
        <v>31</v>
      </c>
      <c r="P487">
        <v>1610</v>
      </c>
      <c r="Q487">
        <v>1910</v>
      </c>
      <c r="R487">
        <v>1930</v>
      </c>
      <c r="S487">
        <v>945</v>
      </c>
    </row>
    <row r="488" spans="1:19" x14ac:dyDescent="0.4">
      <c r="A488" t="s">
        <v>67</v>
      </c>
      <c r="B488">
        <v>202112</v>
      </c>
      <c r="C488">
        <v>18100</v>
      </c>
      <c r="D488" t="s">
        <v>62</v>
      </c>
      <c r="E488">
        <v>60</v>
      </c>
      <c r="F488">
        <v>60</v>
      </c>
      <c r="G488">
        <v>55</v>
      </c>
      <c r="H488">
        <v>55</v>
      </c>
      <c r="I488">
        <v>55</v>
      </c>
      <c r="J488" t="s">
        <v>90</v>
      </c>
      <c r="K488" t="s">
        <v>806</v>
      </c>
      <c r="L488">
        <v>2</v>
      </c>
      <c r="M488">
        <v>4</v>
      </c>
      <c r="N488">
        <v>6</v>
      </c>
      <c r="O488">
        <v>136</v>
      </c>
      <c r="P488">
        <v>39</v>
      </c>
      <c r="Q488">
        <v>69</v>
      </c>
      <c r="R488">
        <v>250</v>
      </c>
      <c r="S488">
        <v>55</v>
      </c>
    </row>
    <row r="489" spans="1:19" x14ac:dyDescent="0.4">
      <c r="A489" t="s">
        <v>67</v>
      </c>
      <c r="B489">
        <v>202112</v>
      </c>
      <c r="C489">
        <v>18100</v>
      </c>
      <c r="D489" t="s">
        <v>64</v>
      </c>
      <c r="E489" t="s">
        <v>63</v>
      </c>
      <c r="F489" t="s">
        <v>63</v>
      </c>
      <c r="G489" t="s">
        <v>63</v>
      </c>
      <c r="H489" t="s">
        <v>63</v>
      </c>
      <c r="I489">
        <v>1880</v>
      </c>
      <c r="J489" t="s">
        <v>68</v>
      </c>
      <c r="K489" t="s">
        <v>68</v>
      </c>
      <c r="L489">
        <v>0</v>
      </c>
      <c r="M489">
        <v>0</v>
      </c>
      <c r="N489">
        <v>0</v>
      </c>
      <c r="O489">
        <v>0</v>
      </c>
      <c r="P489">
        <v>1700</v>
      </c>
      <c r="Q489">
        <v>1990</v>
      </c>
      <c r="R489" t="s">
        <v>63</v>
      </c>
      <c r="S489" t="s">
        <v>63</v>
      </c>
    </row>
    <row r="490" spans="1:19" x14ac:dyDescent="0.4">
      <c r="A490" t="s">
        <v>67</v>
      </c>
      <c r="B490">
        <v>202112</v>
      </c>
      <c r="C490">
        <v>18200</v>
      </c>
      <c r="D490" t="s">
        <v>62</v>
      </c>
      <c r="E490">
        <v>53</v>
      </c>
      <c r="F490">
        <v>53</v>
      </c>
      <c r="G490">
        <v>47.5</v>
      </c>
      <c r="H490">
        <v>47.5</v>
      </c>
      <c r="I490">
        <v>47.5</v>
      </c>
      <c r="J490" t="s">
        <v>360</v>
      </c>
      <c r="K490" t="s">
        <v>807</v>
      </c>
      <c r="L490">
        <v>1</v>
      </c>
      <c r="M490">
        <v>7</v>
      </c>
      <c r="N490">
        <v>8</v>
      </c>
      <c r="O490">
        <v>171</v>
      </c>
      <c r="P490">
        <v>37</v>
      </c>
      <c r="Q490">
        <v>55</v>
      </c>
      <c r="R490">
        <v>497</v>
      </c>
      <c r="S490">
        <v>19</v>
      </c>
    </row>
    <row r="491" spans="1:19" x14ac:dyDescent="0.4">
      <c r="A491" t="s">
        <v>67</v>
      </c>
      <c r="B491">
        <v>202112</v>
      </c>
      <c r="C491">
        <v>18200</v>
      </c>
      <c r="D491" t="s">
        <v>64</v>
      </c>
      <c r="E491" t="s">
        <v>63</v>
      </c>
      <c r="F491" t="s">
        <v>63</v>
      </c>
      <c r="G491" t="s">
        <v>63</v>
      </c>
      <c r="H491" t="s">
        <v>63</v>
      </c>
      <c r="I491">
        <v>1980</v>
      </c>
      <c r="J491" t="s">
        <v>68</v>
      </c>
      <c r="K491" t="s">
        <v>68</v>
      </c>
      <c r="L491">
        <v>0</v>
      </c>
      <c r="M491">
        <v>0</v>
      </c>
      <c r="N491">
        <v>0</v>
      </c>
      <c r="O491">
        <v>0</v>
      </c>
      <c r="P491">
        <v>1790</v>
      </c>
      <c r="Q491">
        <v>2080</v>
      </c>
      <c r="R491" t="s">
        <v>63</v>
      </c>
      <c r="S491" t="s">
        <v>63</v>
      </c>
    </row>
    <row r="492" spans="1:19" x14ac:dyDescent="0.4">
      <c r="A492" t="s">
        <v>67</v>
      </c>
      <c r="B492">
        <v>202112</v>
      </c>
      <c r="C492">
        <v>18300</v>
      </c>
      <c r="D492" t="s">
        <v>62</v>
      </c>
      <c r="E492" t="s">
        <v>63</v>
      </c>
      <c r="F492" t="s">
        <v>63</v>
      </c>
      <c r="G492" t="s">
        <v>63</v>
      </c>
      <c r="H492" t="s">
        <v>63</v>
      </c>
      <c r="I492">
        <v>41.5</v>
      </c>
      <c r="J492" t="s">
        <v>68</v>
      </c>
      <c r="K492" t="s">
        <v>68</v>
      </c>
      <c r="L492">
        <v>1</v>
      </c>
      <c r="M492">
        <v>0</v>
      </c>
      <c r="N492">
        <v>1</v>
      </c>
      <c r="O492">
        <v>63</v>
      </c>
      <c r="P492">
        <v>17</v>
      </c>
      <c r="Q492">
        <v>53</v>
      </c>
      <c r="R492">
        <v>162</v>
      </c>
      <c r="S492">
        <v>45</v>
      </c>
    </row>
    <row r="493" spans="1:19" x14ac:dyDescent="0.4">
      <c r="A493" t="s">
        <v>67</v>
      </c>
      <c r="B493">
        <v>202112</v>
      </c>
      <c r="C493">
        <v>18300</v>
      </c>
      <c r="D493" t="s">
        <v>64</v>
      </c>
      <c r="E493" t="s">
        <v>63</v>
      </c>
      <c r="F493" t="s">
        <v>63</v>
      </c>
      <c r="G493" t="s">
        <v>63</v>
      </c>
      <c r="H493" t="s">
        <v>63</v>
      </c>
      <c r="I493">
        <v>2070</v>
      </c>
      <c r="J493" t="s">
        <v>68</v>
      </c>
      <c r="K493" t="s">
        <v>68</v>
      </c>
      <c r="L493">
        <v>0</v>
      </c>
      <c r="M493">
        <v>0</v>
      </c>
      <c r="N493">
        <v>0</v>
      </c>
      <c r="O493">
        <v>1</v>
      </c>
      <c r="P493">
        <v>1870</v>
      </c>
      <c r="Q493">
        <v>2180</v>
      </c>
      <c r="R493">
        <v>1240</v>
      </c>
      <c r="S493">
        <v>1240</v>
      </c>
    </row>
    <row r="494" spans="1:19" x14ac:dyDescent="0.4">
      <c r="A494" t="s">
        <v>67</v>
      </c>
      <c r="B494">
        <v>202112</v>
      </c>
      <c r="C494">
        <v>18400</v>
      </c>
      <c r="D494" t="s">
        <v>62</v>
      </c>
      <c r="E494">
        <v>39</v>
      </c>
      <c r="F494">
        <v>42</v>
      </c>
      <c r="G494">
        <v>36</v>
      </c>
      <c r="H494">
        <v>36</v>
      </c>
      <c r="I494">
        <v>36</v>
      </c>
      <c r="J494" t="s">
        <v>214</v>
      </c>
      <c r="K494" t="s">
        <v>469</v>
      </c>
      <c r="L494">
        <v>0</v>
      </c>
      <c r="M494">
        <v>10</v>
      </c>
      <c r="N494">
        <v>10</v>
      </c>
      <c r="O494">
        <v>247</v>
      </c>
      <c r="P494">
        <v>35</v>
      </c>
      <c r="Q494">
        <v>47</v>
      </c>
      <c r="R494">
        <v>416</v>
      </c>
      <c r="S494">
        <v>10</v>
      </c>
    </row>
    <row r="495" spans="1:19" x14ac:dyDescent="0.4">
      <c r="A495" t="s">
        <v>67</v>
      </c>
      <c r="B495">
        <v>202112</v>
      </c>
      <c r="C495">
        <v>18400</v>
      </c>
      <c r="D495" t="s">
        <v>64</v>
      </c>
      <c r="E495" t="s">
        <v>63</v>
      </c>
      <c r="F495" t="s">
        <v>63</v>
      </c>
      <c r="G495" t="s">
        <v>63</v>
      </c>
      <c r="H495" t="s">
        <v>63</v>
      </c>
      <c r="I495">
        <v>2160</v>
      </c>
      <c r="J495" t="s">
        <v>68</v>
      </c>
      <c r="K495" t="s">
        <v>68</v>
      </c>
      <c r="L495">
        <v>0</v>
      </c>
      <c r="M495">
        <v>0</v>
      </c>
      <c r="N495">
        <v>0</v>
      </c>
      <c r="O495">
        <v>0</v>
      </c>
      <c r="P495">
        <v>1980</v>
      </c>
      <c r="Q495">
        <v>2260</v>
      </c>
      <c r="R495" t="s">
        <v>63</v>
      </c>
      <c r="S495" t="s">
        <v>63</v>
      </c>
    </row>
    <row r="496" spans="1:19" x14ac:dyDescent="0.4">
      <c r="A496" t="s">
        <v>67</v>
      </c>
      <c r="B496">
        <v>202112</v>
      </c>
      <c r="C496">
        <v>18500</v>
      </c>
      <c r="D496" t="s">
        <v>62</v>
      </c>
      <c r="E496">
        <v>31</v>
      </c>
      <c r="F496">
        <v>31</v>
      </c>
      <c r="G496">
        <v>31</v>
      </c>
      <c r="H496">
        <v>31</v>
      </c>
      <c r="I496">
        <v>31</v>
      </c>
      <c r="J496" t="s">
        <v>139</v>
      </c>
      <c r="K496" t="s">
        <v>468</v>
      </c>
      <c r="L496">
        <v>3</v>
      </c>
      <c r="M496">
        <v>2</v>
      </c>
      <c r="N496">
        <v>5</v>
      </c>
      <c r="O496">
        <v>187</v>
      </c>
      <c r="P496">
        <v>30</v>
      </c>
      <c r="Q496">
        <v>42.5</v>
      </c>
      <c r="R496">
        <v>150</v>
      </c>
      <c r="S496">
        <v>26</v>
      </c>
    </row>
    <row r="497" spans="1:19" x14ac:dyDescent="0.4">
      <c r="A497" t="s">
        <v>67</v>
      </c>
      <c r="B497">
        <v>202112</v>
      </c>
      <c r="C497">
        <v>18500</v>
      </c>
      <c r="D497" t="s">
        <v>64</v>
      </c>
      <c r="E497" t="s">
        <v>63</v>
      </c>
      <c r="F497" t="s">
        <v>63</v>
      </c>
      <c r="G497" t="s">
        <v>63</v>
      </c>
      <c r="H497" t="s">
        <v>63</v>
      </c>
      <c r="I497">
        <v>2260</v>
      </c>
      <c r="J497" t="s">
        <v>68</v>
      </c>
      <c r="K497" t="s">
        <v>68</v>
      </c>
      <c r="L497">
        <v>0</v>
      </c>
      <c r="M497">
        <v>0</v>
      </c>
      <c r="N497">
        <v>0</v>
      </c>
      <c r="O497">
        <v>0</v>
      </c>
      <c r="P497">
        <v>2070</v>
      </c>
      <c r="Q497">
        <v>2360</v>
      </c>
      <c r="R497" t="s">
        <v>63</v>
      </c>
      <c r="S497" t="s">
        <v>63</v>
      </c>
    </row>
    <row r="498" spans="1:19" x14ac:dyDescent="0.4">
      <c r="A498" t="s">
        <v>67</v>
      </c>
      <c r="B498">
        <v>202112</v>
      </c>
      <c r="C498">
        <v>18600</v>
      </c>
      <c r="D498" t="s">
        <v>62</v>
      </c>
      <c r="E498">
        <v>26</v>
      </c>
      <c r="F498">
        <v>27.5</v>
      </c>
      <c r="G498">
        <v>23.5</v>
      </c>
      <c r="H498">
        <v>26.5</v>
      </c>
      <c r="I498">
        <v>26.5</v>
      </c>
      <c r="J498" t="s">
        <v>94</v>
      </c>
      <c r="K498" s="28" t="s">
        <v>808</v>
      </c>
      <c r="L498">
        <v>0</v>
      </c>
      <c r="M498">
        <v>74</v>
      </c>
      <c r="N498">
        <v>74</v>
      </c>
      <c r="O498">
        <v>161</v>
      </c>
      <c r="P498">
        <v>13</v>
      </c>
      <c r="Q498">
        <v>32</v>
      </c>
      <c r="R498">
        <v>347</v>
      </c>
      <c r="S498">
        <v>8</v>
      </c>
    </row>
    <row r="499" spans="1:19" x14ac:dyDescent="0.4">
      <c r="A499" t="s">
        <v>67</v>
      </c>
      <c r="B499">
        <v>202112</v>
      </c>
      <c r="C499">
        <v>18600</v>
      </c>
      <c r="D499" t="s">
        <v>64</v>
      </c>
      <c r="E499" t="s">
        <v>63</v>
      </c>
      <c r="F499" t="s">
        <v>63</v>
      </c>
      <c r="G499" t="s">
        <v>63</v>
      </c>
      <c r="H499" t="s">
        <v>63</v>
      </c>
      <c r="I499">
        <v>2360</v>
      </c>
      <c r="J499" t="s">
        <v>68</v>
      </c>
      <c r="K499" t="s">
        <v>68</v>
      </c>
      <c r="L499">
        <v>0</v>
      </c>
      <c r="M499">
        <v>0</v>
      </c>
      <c r="N499">
        <v>0</v>
      </c>
      <c r="O499">
        <v>0</v>
      </c>
      <c r="P499">
        <v>2170</v>
      </c>
      <c r="Q499">
        <v>2450</v>
      </c>
      <c r="R499" t="s">
        <v>63</v>
      </c>
      <c r="S499" t="s">
        <v>63</v>
      </c>
    </row>
    <row r="500" spans="1:19" x14ac:dyDescent="0.4">
      <c r="A500" t="s">
        <v>67</v>
      </c>
      <c r="B500">
        <v>202112</v>
      </c>
      <c r="C500">
        <v>18700</v>
      </c>
      <c r="D500" t="s">
        <v>62</v>
      </c>
      <c r="E500" t="s">
        <v>63</v>
      </c>
      <c r="F500" t="s">
        <v>63</v>
      </c>
      <c r="G500" t="s">
        <v>63</v>
      </c>
      <c r="H500" t="s">
        <v>63</v>
      </c>
      <c r="I500">
        <v>25</v>
      </c>
      <c r="J500" t="s">
        <v>68</v>
      </c>
      <c r="K500" t="s">
        <v>68</v>
      </c>
      <c r="L500">
        <v>0</v>
      </c>
      <c r="M500">
        <v>0</v>
      </c>
      <c r="N500">
        <v>0</v>
      </c>
      <c r="O500">
        <v>24</v>
      </c>
      <c r="P500">
        <v>10</v>
      </c>
      <c r="Q500">
        <v>36.5</v>
      </c>
      <c r="R500">
        <v>107</v>
      </c>
      <c r="S500">
        <v>32</v>
      </c>
    </row>
    <row r="501" spans="1:19" x14ac:dyDescent="0.4">
      <c r="A501" t="s">
        <v>67</v>
      </c>
      <c r="B501">
        <v>202112</v>
      </c>
      <c r="C501">
        <v>18700</v>
      </c>
      <c r="D501" t="s">
        <v>64</v>
      </c>
      <c r="E501" t="s">
        <v>63</v>
      </c>
      <c r="F501" t="s">
        <v>63</v>
      </c>
      <c r="G501" t="s">
        <v>63</v>
      </c>
      <c r="H501" t="s">
        <v>63</v>
      </c>
      <c r="I501">
        <v>2450</v>
      </c>
      <c r="J501" t="s">
        <v>68</v>
      </c>
      <c r="K501" t="s">
        <v>68</v>
      </c>
      <c r="L501">
        <v>0</v>
      </c>
      <c r="M501">
        <v>0</v>
      </c>
      <c r="N501">
        <v>0</v>
      </c>
      <c r="O501">
        <v>0</v>
      </c>
      <c r="P501">
        <v>2230</v>
      </c>
      <c r="Q501">
        <v>2550</v>
      </c>
      <c r="R501" t="s">
        <v>63</v>
      </c>
      <c r="S501" t="s">
        <v>63</v>
      </c>
    </row>
    <row r="502" spans="1:19" x14ac:dyDescent="0.4">
      <c r="A502" t="s">
        <v>67</v>
      </c>
      <c r="B502">
        <v>202112</v>
      </c>
      <c r="C502">
        <v>18800</v>
      </c>
      <c r="D502" t="s">
        <v>62</v>
      </c>
      <c r="E502">
        <v>28</v>
      </c>
      <c r="F502">
        <v>28</v>
      </c>
      <c r="G502">
        <v>24</v>
      </c>
      <c r="H502">
        <v>24</v>
      </c>
      <c r="I502">
        <v>24</v>
      </c>
      <c r="J502" t="s">
        <v>110</v>
      </c>
      <c r="K502" t="s">
        <v>809</v>
      </c>
      <c r="L502">
        <v>0</v>
      </c>
      <c r="M502">
        <v>11</v>
      </c>
      <c r="N502">
        <v>11</v>
      </c>
      <c r="O502">
        <v>166</v>
      </c>
      <c r="P502">
        <v>20</v>
      </c>
      <c r="Q502">
        <v>160</v>
      </c>
      <c r="R502">
        <v>299</v>
      </c>
      <c r="S502">
        <v>21</v>
      </c>
    </row>
    <row r="503" spans="1:19" x14ac:dyDescent="0.4">
      <c r="A503" t="s">
        <v>67</v>
      </c>
      <c r="B503">
        <v>202112</v>
      </c>
      <c r="C503">
        <v>18800</v>
      </c>
      <c r="D503" t="s">
        <v>64</v>
      </c>
      <c r="E503" t="s">
        <v>63</v>
      </c>
      <c r="F503" t="s">
        <v>63</v>
      </c>
      <c r="G503" t="s">
        <v>63</v>
      </c>
      <c r="H503" t="s">
        <v>63</v>
      </c>
      <c r="I503">
        <v>2550</v>
      </c>
      <c r="J503" t="s">
        <v>68</v>
      </c>
      <c r="K503" t="s">
        <v>68</v>
      </c>
      <c r="L503">
        <v>0</v>
      </c>
      <c r="M503">
        <v>0</v>
      </c>
      <c r="N503">
        <v>0</v>
      </c>
      <c r="O503">
        <v>0</v>
      </c>
      <c r="P503">
        <v>2360</v>
      </c>
      <c r="Q503">
        <v>2650</v>
      </c>
      <c r="R503" t="s">
        <v>63</v>
      </c>
      <c r="S503" t="s">
        <v>63</v>
      </c>
    </row>
    <row r="504" spans="1:19" x14ac:dyDescent="0.4">
      <c r="A504" t="s">
        <v>67</v>
      </c>
      <c r="B504">
        <v>202112</v>
      </c>
      <c r="C504">
        <v>18900</v>
      </c>
      <c r="D504" t="s">
        <v>62</v>
      </c>
      <c r="E504" t="s">
        <v>63</v>
      </c>
      <c r="F504" t="s">
        <v>63</v>
      </c>
      <c r="G504" t="s">
        <v>63</v>
      </c>
      <c r="H504" t="s">
        <v>63</v>
      </c>
      <c r="I504">
        <v>19</v>
      </c>
      <c r="J504" t="s">
        <v>68</v>
      </c>
      <c r="K504" t="s">
        <v>68</v>
      </c>
      <c r="L504">
        <v>1</v>
      </c>
      <c r="M504">
        <v>0</v>
      </c>
      <c r="N504">
        <v>1</v>
      </c>
      <c r="O504">
        <v>31</v>
      </c>
      <c r="P504">
        <v>10.5</v>
      </c>
      <c r="Q504">
        <v>27.5</v>
      </c>
      <c r="R504">
        <v>80</v>
      </c>
      <c r="S504">
        <v>20</v>
      </c>
    </row>
    <row r="505" spans="1:19" x14ac:dyDescent="0.4">
      <c r="A505" t="s">
        <v>67</v>
      </c>
      <c r="B505">
        <v>202112</v>
      </c>
      <c r="C505">
        <v>18900</v>
      </c>
      <c r="D505" t="s">
        <v>64</v>
      </c>
      <c r="E505" t="s">
        <v>63</v>
      </c>
      <c r="F505" t="s">
        <v>63</v>
      </c>
      <c r="G505" t="s">
        <v>63</v>
      </c>
      <c r="H505" t="s">
        <v>63</v>
      </c>
      <c r="I505">
        <v>2650</v>
      </c>
      <c r="J505" t="s">
        <v>68</v>
      </c>
      <c r="K505" t="s">
        <v>68</v>
      </c>
      <c r="L505">
        <v>0</v>
      </c>
      <c r="M505">
        <v>0</v>
      </c>
      <c r="N505">
        <v>0</v>
      </c>
      <c r="O505">
        <v>0</v>
      </c>
      <c r="P505">
        <v>2460</v>
      </c>
      <c r="Q505">
        <v>2750</v>
      </c>
      <c r="R505" t="s">
        <v>63</v>
      </c>
      <c r="S505" t="s">
        <v>63</v>
      </c>
    </row>
    <row r="506" spans="1:19" x14ac:dyDescent="0.4">
      <c r="A506" t="s">
        <v>67</v>
      </c>
      <c r="B506">
        <v>202112</v>
      </c>
      <c r="C506">
        <v>19000</v>
      </c>
      <c r="D506" t="s">
        <v>62</v>
      </c>
      <c r="E506">
        <v>18</v>
      </c>
      <c r="F506">
        <v>18</v>
      </c>
      <c r="G506">
        <v>17</v>
      </c>
      <c r="H506">
        <v>17</v>
      </c>
      <c r="I506">
        <v>17</v>
      </c>
      <c r="J506" t="s">
        <v>111</v>
      </c>
      <c r="K506" t="s">
        <v>722</v>
      </c>
      <c r="L506">
        <v>2</v>
      </c>
      <c r="M506">
        <v>34</v>
      </c>
      <c r="N506">
        <v>36</v>
      </c>
      <c r="O506">
        <v>681</v>
      </c>
      <c r="P506">
        <v>16</v>
      </c>
      <c r="Q506">
        <v>17</v>
      </c>
      <c r="R506">
        <v>257</v>
      </c>
      <c r="S506">
        <v>15.5</v>
      </c>
    </row>
    <row r="507" spans="1:19" x14ac:dyDescent="0.4">
      <c r="A507" t="s">
        <v>67</v>
      </c>
      <c r="B507">
        <v>202112</v>
      </c>
      <c r="C507">
        <v>19000</v>
      </c>
      <c r="D507" t="s">
        <v>64</v>
      </c>
      <c r="E507" t="s">
        <v>63</v>
      </c>
      <c r="F507" t="s">
        <v>63</v>
      </c>
      <c r="G507" t="s">
        <v>63</v>
      </c>
      <c r="H507" t="s">
        <v>63</v>
      </c>
      <c r="I507">
        <v>2750</v>
      </c>
      <c r="J507" t="s">
        <v>68</v>
      </c>
      <c r="K507" t="s">
        <v>68</v>
      </c>
      <c r="L507">
        <v>0</v>
      </c>
      <c r="M507">
        <v>0</v>
      </c>
      <c r="N507">
        <v>0</v>
      </c>
      <c r="O507">
        <v>0</v>
      </c>
      <c r="P507">
        <v>2530</v>
      </c>
      <c r="Q507">
        <v>2840</v>
      </c>
      <c r="R507" t="s">
        <v>63</v>
      </c>
      <c r="S507" t="s">
        <v>63</v>
      </c>
    </row>
    <row r="508" spans="1:19" x14ac:dyDescent="0.4">
      <c r="A508" t="s">
        <v>67</v>
      </c>
      <c r="B508">
        <v>202112</v>
      </c>
      <c r="C508">
        <v>19100</v>
      </c>
      <c r="D508" t="s">
        <v>62</v>
      </c>
      <c r="E508" t="s">
        <v>63</v>
      </c>
      <c r="F508" t="s">
        <v>63</v>
      </c>
      <c r="G508" t="s">
        <v>63</v>
      </c>
      <c r="H508" t="s">
        <v>63</v>
      </c>
      <c r="I508">
        <v>15</v>
      </c>
      <c r="J508" t="s">
        <v>68</v>
      </c>
      <c r="K508" t="s">
        <v>68</v>
      </c>
      <c r="L508">
        <v>0</v>
      </c>
      <c r="M508">
        <v>0</v>
      </c>
      <c r="N508">
        <v>0</v>
      </c>
      <c r="O508">
        <v>10</v>
      </c>
      <c r="P508">
        <v>0.9</v>
      </c>
      <c r="Q508">
        <v>154</v>
      </c>
      <c r="R508">
        <v>54</v>
      </c>
      <c r="S508">
        <v>25</v>
      </c>
    </row>
    <row r="509" spans="1:19" x14ac:dyDescent="0.4">
      <c r="A509" t="s">
        <v>67</v>
      </c>
      <c r="B509">
        <v>202112</v>
      </c>
      <c r="C509">
        <v>19100</v>
      </c>
      <c r="D509" t="s">
        <v>64</v>
      </c>
      <c r="E509" t="s">
        <v>63</v>
      </c>
      <c r="F509" t="s">
        <v>63</v>
      </c>
      <c r="G509" t="s">
        <v>63</v>
      </c>
      <c r="H509" t="s">
        <v>63</v>
      </c>
      <c r="I509">
        <v>2840</v>
      </c>
      <c r="J509" t="s">
        <v>68</v>
      </c>
      <c r="K509" t="s">
        <v>68</v>
      </c>
      <c r="L509">
        <v>0</v>
      </c>
      <c r="M509">
        <v>0</v>
      </c>
      <c r="N509">
        <v>0</v>
      </c>
      <c r="O509">
        <v>0</v>
      </c>
      <c r="P509">
        <v>2630</v>
      </c>
      <c r="Q509">
        <v>2940</v>
      </c>
      <c r="R509" t="s">
        <v>63</v>
      </c>
      <c r="S509" t="s">
        <v>63</v>
      </c>
    </row>
    <row r="510" spans="1:19" x14ac:dyDescent="0.4">
      <c r="A510" t="s">
        <v>67</v>
      </c>
      <c r="B510">
        <v>202112</v>
      </c>
      <c r="C510">
        <v>19200</v>
      </c>
      <c r="D510" t="s">
        <v>62</v>
      </c>
      <c r="E510">
        <v>15</v>
      </c>
      <c r="F510">
        <v>15</v>
      </c>
      <c r="G510">
        <v>15</v>
      </c>
      <c r="H510">
        <v>15</v>
      </c>
      <c r="I510">
        <v>14.5</v>
      </c>
      <c r="J510" t="s">
        <v>102</v>
      </c>
      <c r="K510" t="s">
        <v>317</v>
      </c>
      <c r="L510">
        <v>0</v>
      </c>
      <c r="M510">
        <v>1</v>
      </c>
      <c r="N510">
        <v>1</v>
      </c>
      <c r="O510">
        <v>107</v>
      </c>
      <c r="P510">
        <v>12</v>
      </c>
      <c r="Q510">
        <v>14.5</v>
      </c>
      <c r="R510">
        <v>273</v>
      </c>
      <c r="S510">
        <v>15</v>
      </c>
    </row>
    <row r="511" spans="1:19" x14ac:dyDescent="0.4">
      <c r="A511" t="s">
        <v>67</v>
      </c>
      <c r="B511">
        <v>202112</v>
      </c>
      <c r="C511">
        <v>19200</v>
      </c>
      <c r="D511" t="s">
        <v>64</v>
      </c>
      <c r="E511" t="s">
        <v>63</v>
      </c>
      <c r="F511" t="s">
        <v>63</v>
      </c>
      <c r="G511" t="s">
        <v>63</v>
      </c>
      <c r="H511" t="s">
        <v>63</v>
      </c>
      <c r="I511">
        <v>2940</v>
      </c>
      <c r="J511" t="s">
        <v>68</v>
      </c>
      <c r="K511" t="s">
        <v>68</v>
      </c>
      <c r="L511">
        <v>0</v>
      </c>
      <c r="M511">
        <v>0</v>
      </c>
      <c r="N511">
        <v>0</v>
      </c>
      <c r="O511">
        <v>0</v>
      </c>
      <c r="P511">
        <v>2730</v>
      </c>
      <c r="Q511">
        <v>3040</v>
      </c>
      <c r="R511" t="s">
        <v>63</v>
      </c>
      <c r="S511" t="s">
        <v>63</v>
      </c>
    </row>
    <row r="512" spans="1:19" x14ac:dyDescent="0.4">
      <c r="A512" t="s">
        <v>67</v>
      </c>
      <c r="B512">
        <v>202112</v>
      </c>
      <c r="C512">
        <v>19300</v>
      </c>
      <c r="D512" t="s">
        <v>62</v>
      </c>
      <c r="E512" t="s">
        <v>63</v>
      </c>
      <c r="F512" t="s">
        <v>63</v>
      </c>
      <c r="G512" t="s">
        <v>63</v>
      </c>
      <c r="H512" t="s">
        <v>63</v>
      </c>
      <c r="I512">
        <v>14</v>
      </c>
      <c r="J512" t="s">
        <v>68</v>
      </c>
      <c r="K512" t="s">
        <v>68</v>
      </c>
      <c r="L512">
        <v>0</v>
      </c>
      <c r="M512">
        <v>0</v>
      </c>
      <c r="N512">
        <v>0</v>
      </c>
      <c r="O512">
        <v>13</v>
      </c>
      <c r="P512">
        <v>0.8</v>
      </c>
      <c r="Q512">
        <v>24</v>
      </c>
      <c r="R512">
        <v>41.5</v>
      </c>
      <c r="S512">
        <v>41</v>
      </c>
    </row>
    <row r="513" spans="1:19" x14ac:dyDescent="0.4">
      <c r="A513" t="s">
        <v>67</v>
      </c>
      <c r="B513">
        <v>202112</v>
      </c>
      <c r="C513">
        <v>19300</v>
      </c>
      <c r="D513" t="s">
        <v>64</v>
      </c>
      <c r="E513" t="s">
        <v>63</v>
      </c>
      <c r="F513" t="s">
        <v>63</v>
      </c>
      <c r="G513" t="s">
        <v>63</v>
      </c>
      <c r="H513" t="s">
        <v>63</v>
      </c>
      <c r="I513">
        <v>3040</v>
      </c>
      <c r="J513" t="s">
        <v>68</v>
      </c>
      <c r="K513" t="s">
        <v>68</v>
      </c>
      <c r="L513">
        <v>0</v>
      </c>
      <c r="M513">
        <v>0</v>
      </c>
      <c r="N513">
        <v>0</v>
      </c>
      <c r="O513">
        <v>0</v>
      </c>
      <c r="P513">
        <v>2850</v>
      </c>
      <c r="Q513">
        <v>3140</v>
      </c>
      <c r="R513" t="s">
        <v>63</v>
      </c>
      <c r="S513" t="s">
        <v>63</v>
      </c>
    </row>
    <row r="514" spans="1:19" x14ac:dyDescent="0.4">
      <c r="A514" t="s">
        <v>67</v>
      </c>
      <c r="B514">
        <v>202112</v>
      </c>
      <c r="C514">
        <v>19400</v>
      </c>
      <c r="D514" t="s">
        <v>62</v>
      </c>
      <c r="E514">
        <v>14</v>
      </c>
      <c r="F514">
        <v>14</v>
      </c>
      <c r="G514">
        <v>14</v>
      </c>
      <c r="H514">
        <v>14</v>
      </c>
      <c r="I514">
        <v>14</v>
      </c>
      <c r="J514" t="s">
        <v>102</v>
      </c>
      <c r="K514" t="s">
        <v>476</v>
      </c>
      <c r="L514">
        <v>0</v>
      </c>
      <c r="M514">
        <v>3</v>
      </c>
      <c r="N514">
        <v>3</v>
      </c>
      <c r="O514">
        <v>520</v>
      </c>
      <c r="P514">
        <v>3.3</v>
      </c>
      <c r="Q514">
        <v>151</v>
      </c>
      <c r="R514">
        <v>163</v>
      </c>
      <c r="S514">
        <v>14</v>
      </c>
    </row>
    <row r="515" spans="1:19" x14ac:dyDescent="0.4">
      <c r="A515" t="s">
        <v>67</v>
      </c>
      <c r="B515">
        <v>202112</v>
      </c>
      <c r="C515">
        <v>19400</v>
      </c>
      <c r="D515" t="s">
        <v>64</v>
      </c>
      <c r="E515" t="s">
        <v>63</v>
      </c>
      <c r="F515" t="s">
        <v>63</v>
      </c>
      <c r="G515" t="s">
        <v>63</v>
      </c>
      <c r="H515" t="s">
        <v>63</v>
      </c>
      <c r="I515">
        <v>3140</v>
      </c>
      <c r="J515" t="s">
        <v>68</v>
      </c>
      <c r="K515" t="s">
        <v>68</v>
      </c>
      <c r="L515">
        <v>0</v>
      </c>
      <c r="M515">
        <v>0</v>
      </c>
      <c r="N515">
        <v>0</v>
      </c>
      <c r="O515">
        <v>0</v>
      </c>
      <c r="P515">
        <v>2950</v>
      </c>
      <c r="Q515">
        <v>3240</v>
      </c>
      <c r="R515" t="s">
        <v>63</v>
      </c>
      <c r="S515" t="s">
        <v>63</v>
      </c>
    </row>
    <row r="516" spans="1:19" x14ac:dyDescent="0.4">
      <c r="A516" t="s">
        <v>67</v>
      </c>
      <c r="B516">
        <v>202112</v>
      </c>
      <c r="C516">
        <v>19500</v>
      </c>
      <c r="D516" t="s">
        <v>62</v>
      </c>
      <c r="E516" t="s">
        <v>63</v>
      </c>
      <c r="F516" t="s">
        <v>63</v>
      </c>
      <c r="G516" t="s">
        <v>63</v>
      </c>
      <c r="H516" t="s">
        <v>63</v>
      </c>
      <c r="I516">
        <v>12.5</v>
      </c>
      <c r="J516" t="s">
        <v>68</v>
      </c>
      <c r="K516" t="s">
        <v>68</v>
      </c>
      <c r="L516">
        <v>0</v>
      </c>
      <c r="M516">
        <v>0</v>
      </c>
      <c r="N516">
        <v>0</v>
      </c>
      <c r="O516">
        <v>8</v>
      </c>
      <c r="P516">
        <v>0.3</v>
      </c>
      <c r="Q516">
        <v>12.5</v>
      </c>
      <c r="R516">
        <v>32.5</v>
      </c>
      <c r="S516">
        <v>15</v>
      </c>
    </row>
    <row r="517" spans="1:19" x14ac:dyDescent="0.4">
      <c r="A517" t="s">
        <v>67</v>
      </c>
      <c r="B517">
        <v>202112</v>
      </c>
      <c r="C517">
        <v>19500</v>
      </c>
      <c r="D517" t="s">
        <v>64</v>
      </c>
      <c r="E517" t="s">
        <v>63</v>
      </c>
      <c r="F517" t="s">
        <v>63</v>
      </c>
      <c r="G517" t="s">
        <v>63</v>
      </c>
      <c r="H517" t="s">
        <v>63</v>
      </c>
      <c r="I517">
        <v>3240</v>
      </c>
      <c r="J517" t="s">
        <v>68</v>
      </c>
      <c r="K517" t="s">
        <v>68</v>
      </c>
      <c r="L517">
        <v>0</v>
      </c>
      <c r="M517">
        <v>0</v>
      </c>
      <c r="N517">
        <v>0</v>
      </c>
      <c r="O517">
        <v>0</v>
      </c>
      <c r="P517">
        <v>3050</v>
      </c>
      <c r="Q517">
        <v>3340</v>
      </c>
      <c r="R517" t="s">
        <v>63</v>
      </c>
      <c r="S517" t="s">
        <v>63</v>
      </c>
    </row>
    <row r="518" spans="1:19" x14ac:dyDescent="0.4">
      <c r="A518" t="s">
        <v>67</v>
      </c>
      <c r="B518">
        <v>202112</v>
      </c>
      <c r="C518">
        <v>19600</v>
      </c>
      <c r="D518" t="s">
        <v>62</v>
      </c>
      <c r="E518" t="s">
        <v>63</v>
      </c>
      <c r="F518" t="s">
        <v>63</v>
      </c>
      <c r="G518" t="s">
        <v>63</v>
      </c>
      <c r="H518" t="s">
        <v>63</v>
      </c>
      <c r="I518">
        <v>12.5</v>
      </c>
      <c r="J518" t="s">
        <v>68</v>
      </c>
      <c r="K518" t="s">
        <v>68</v>
      </c>
      <c r="L518">
        <v>0</v>
      </c>
      <c r="M518">
        <v>0</v>
      </c>
      <c r="N518">
        <v>0</v>
      </c>
      <c r="O518">
        <v>471</v>
      </c>
      <c r="P518">
        <v>3.3</v>
      </c>
      <c r="Q518">
        <v>149</v>
      </c>
      <c r="R518">
        <v>265</v>
      </c>
      <c r="S518">
        <v>12</v>
      </c>
    </row>
    <row r="519" spans="1:19" x14ac:dyDescent="0.4">
      <c r="A519" t="s">
        <v>67</v>
      </c>
      <c r="B519">
        <v>202112</v>
      </c>
      <c r="C519">
        <v>19600</v>
      </c>
      <c r="D519" t="s">
        <v>64</v>
      </c>
      <c r="E519" t="s">
        <v>63</v>
      </c>
      <c r="F519" t="s">
        <v>63</v>
      </c>
      <c r="G519" t="s">
        <v>63</v>
      </c>
      <c r="H519" t="s">
        <v>63</v>
      </c>
      <c r="I519">
        <v>3340</v>
      </c>
      <c r="J519" t="s">
        <v>68</v>
      </c>
      <c r="K519" t="s">
        <v>68</v>
      </c>
      <c r="L519">
        <v>0</v>
      </c>
      <c r="M519">
        <v>0</v>
      </c>
      <c r="N519">
        <v>0</v>
      </c>
      <c r="O519">
        <v>0</v>
      </c>
      <c r="P519">
        <v>3150</v>
      </c>
      <c r="Q519">
        <v>3440</v>
      </c>
      <c r="R519" t="s">
        <v>63</v>
      </c>
      <c r="S519" t="s">
        <v>63</v>
      </c>
    </row>
    <row r="520" spans="1:19" x14ac:dyDescent="0.4">
      <c r="A520" t="s">
        <v>67</v>
      </c>
      <c r="B520">
        <v>202112</v>
      </c>
      <c r="C520">
        <v>19700</v>
      </c>
      <c r="D520" t="s">
        <v>62</v>
      </c>
      <c r="E520" t="s">
        <v>63</v>
      </c>
      <c r="F520" t="s">
        <v>63</v>
      </c>
      <c r="G520" t="s">
        <v>63</v>
      </c>
      <c r="H520" t="s">
        <v>63</v>
      </c>
      <c r="I520">
        <v>11.5</v>
      </c>
      <c r="J520" t="s">
        <v>68</v>
      </c>
      <c r="K520" t="s">
        <v>68</v>
      </c>
      <c r="L520">
        <v>0</v>
      </c>
      <c r="M520">
        <v>0</v>
      </c>
      <c r="N520">
        <v>0</v>
      </c>
      <c r="O520">
        <v>55</v>
      </c>
      <c r="P520">
        <v>0.3</v>
      </c>
      <c r="Q520">
        <v>148</v>
      </c>
      <c r="R520">
        <v>33</v>
      </c>
      <c r="S520">
        <v>1.6</v>
      </c>
    </row>
    <row r="521" spans="1:19" x14ac:dyDescent="0.4">
      <c r="A521" t="s">
        <v>67</v>
      </c>
      <c r="B521">
        <v>202112</v>
      </c>
      <c r="C521">
        <v>19700</v>
      </c>
      <c r="D521" t="s">
        <v>64</v>
      </c>
      <c r="E521" t="s">
        <v>63</v>
      </c>
      <c r="F521" t="s">
        <v>63</v>
      </c>
      <c r="G521" t="s">
        <v>63</v>
      </c>
      <c r="H521" t="s">
        <v>63</v>
      </c>
      <c r="I521">
        <v>3440</v>
      </c>
      <c r="J521" t="s">
        <v>68</v>
      </c>
      <c r="K521" t="s">
        <v>68</v>
      </c>
      <c r="L521">
        <v>0</v>
      </c>
      <c r="M521">
        <v>0</v>
      </c>
      <c r="N521">
        <v>0</v>
      </c>
      <c r="O521">
        <v>0</v>
      </c>
      <c r="P521">
        <v>3250</v>
      </c>
      <c r="Q521">
        <v>3540</v>
      </c>
      <c r="R521" t="s">
        <v>63</v>
      </c>
      <c r="S521" t="s">
        <v>63</v>
      </c>
    </row>
    <row r="522" spans="1:19" x14ac:dyDescent="0.4">
      <c r="A522" t="s">
        <v>67</v>
      </c>
      <c r="B522">
        <v>202112</v>
      </c>
      <c r="C522">
        <v>19800</v>
      </c>
      <c r="D522" t="s">
        <v>62</v>
      </c>
      <c r="E522" t="s">
        <v>63</v>
      </c>
      <c r="F522" t="s">
        <v>63</v>
      </c>
      <c r="G522" t="s">
        <v>63</v>
      </c>
      <c r="H522" t="s">
        <v>63</v>
      </c>
      <c r="I522">
        <v>11</v>
      </c>
      <c r="J522" t="s">
        <v>68</v>
      </c>
      <c r="K522" t="s">
        <v>68</v>
      </c>
      <c r="L522">
        <v>0</v>
      </c>
      <c r="M522">
        <v>0</v>
      </c>
      <c r="N522">
        <v>0</v>
      </c>
      <c r="O522">
        <v>153</v>
      </c>
      <c r="P522">
        <v>5.4</v>
      </c>
      <c r="Q522">
        <v>20</v>
      </c>
      <c r="R522">
        <v>256</v>
      </c>
      <c r="S522">
        <v>10</v>
      </c>
    </row>
    <row r="523" spans="1:19" x14ac:dyDescent="0.4">
      <c r="A523" t="s">
        <v>67</v>
      </c>
      <c r="B523">
        <v>202112</v>
      </c>
      <c r="C523">
        <v>19800</v>
      </c>
      <c r="D523" t="s">
        <v>64</v>
      </c>
      <c r="E523" t="s">
        <v>63</v>
      </c>
      <c r="F523" t="s">
        <v>63</v>
      </c>
      <c r="G523" t="s">
        <v>63</v>
      </c>
      <c r="H523" t="s">
        <v>63</v>
      </c>
      <c r="I523">
        <v>3540</v>
      </c>
      <c r="J523" t="s">
        <v>68</v>
      </c>
      <c r="K523" t="s">
        <v>68</v>
      </c>
      <c r="L523">
        <v>0</v>
      </c>
      <c r="M523">
        <v>0</v>
      </c>
      <c r="N523">
        <v>0</v>
      </c>
      <c r="O523">
        <v>0</v>
      </c>
      <c r="P523">
        <v>3350</v>
      </c>
      <c r="Q523">
        <v>3640</v>
      </c>
      <c r="R523" t="s">
        <v>63</v>
      </c>
      <c r="S523" t="s">
        <v>63</v>
      </c>
    </row>
    <row r="524" spans="1:19" x14ac:dyDescent="0.4">
      <c r="A524" t="s">
        <v>67</v>
      </c>
      <c r="B524">
        <v>202112</v>
      </c>
      <c r="C524">
        <v>19900</v>
      </c>
      <c r="D524" t="s">
        <v>62</v>
      </c>
      <c r="E524" t="s">
        <v>63</v>
      </c>
      <c r="F524" t="s">
        <v>63</v>
      </c>
      <c r="G524" t="s">
        <v>63</v>
      </c>
      <c r="H524" t="s">
        <v>63</v>
      </c>
      <c r="I524">
        <v>10.5</v>
      </c>
      <c r="J524" t="s">
        <v>68</v>
      </c>
      <c r="K524" t="s">
        <v>68</v>
      </c>
      <c r="L524">
        <v>0</v>
      </c>
      <c r="M524">
        <v>0</v>
      </c>
      <c r="N524">
        <v>0</v>
      </c>
      <c r="O524">
        <v>5</v>
      </c>
      <c r="P524">
        <v>4.7</v>
      </c>
      <c r="Q524">
        <v>19.5</v>
      </c>
      <c r="R524">
        <v>18</v>
      </c>
      <c r="S524">
        <v>13.5</v>
      </c>
    </row>
    <row r="525" spans="1:19" x14ac:dyDescent="0.4">
      <c r="A525" t="s">
        <v>67</v>
      </c>
      <c r="B525">
        <v>202112</v>
      </c>
      <c r="C525">
        <v>19900</v>
      </c>
      <c r="D525" t="s">
        <v>64</v>
      </c>
      <c r="E525" t="s">
        <v>63</v>
      </c>
      <c r="F525" t="s">
        <v>63</v>
      </c>
      <c r="G525" t="s">
        <v>63</v>
      </c>
      <c r="H525" t="s">
        <v>63</v>
      </c>
      <c r="I525">
        <v>3640</v>
      </c>
      <c r="J525" t="s">
        <v>68</v>
      </c>
      <c r="K525" t="s">
        <v>68</v>
      </c>
      <c r="L525">
        <v>0</v>
      </c>
      <c r="M525">
        <v>0</v>
      </c>
      <c r="N525">
        <v>0</v>
      </c>
      <c r="O525">
        <v>0</v>
      </c>
      <c r="P525">
        <v>3420</v>
      </c>
      <c r="Q525">
        <v>3740</v>
      </c>
      <c r="R525" t="s">
        <v>63</v>
      </c>
      <c r="S525" t="s">
        <v>63</v>
      </c>
    </row>
    <row r="526" spans="1:19" x14ac:dyDescent="0.4">
      <c r="A526" t="s">
        <v>67</v>
      </c>
      <c r="B526">
        <v>202112</v>
      </c>
      <c r="C526">
        <v>20000</v>
      </c>
      <c r="D526" t="s">
        <v>62</v>
      </c>
      <c r="E526">
        <v>9.9</v>
      </c>
      <c r="F526">
        <v>9.9</v>
      </c>
      <c r="G526">
        <v>9.6999999999999993</v>
      </c>
      <c r="H526">
        <v>9.6999999999999993</v>
      </c>
      <c r="I526">
        <v>9.6999999999999993</v>
      </c>
      <c r="J526" t="s">
        <v>810</v>
      </c>
      <c r="K526" t="s">
        <v>811</v>
      </c>
      <c r="L526">
        <v>0</v>
      </c>
      <c r="M526">
        <v>7</v>
      </c>
      <c r="N526">
        <v>7</v>
      </c>
      <c r="O526">
        <v>556</v>
      </c>
      <c r="P526">
        <v>6.7</v>
      </c>
      <c r="Q526">
        <v>19</v>
      </c>
      <c r="R526">
        <v>185</v>
      </c>
      <c r="S526">
        <v>8.1</v>
      </c>
    </row>
    <row r="527" spans="1:19" x14ac:dyDescent="0.4">
      <c r="A527" t="s">
        <v>67</v>
      </c>
      <c r="B527">
        <v>202112</v>
      </c>
      <c r="C527">
        <v>20000</v>
      </c>
      <c r="D527" t="s">
        <v>64</v>
      </c>
      <c r="E527" t="s">
        <v>63</v>
      </c>
      <c r="F527" t="s">
        <v>63</v>
      </c>
      <c r="G527" t="s">
        <v>63</v>
      </c>
      <c r="H527" t="s">
        <v>63</v>
      </c>
      <c r="I527">
        <v>3740</v>
      </c>
      <c r="J527" t="s">
        <v>68</v>
      </c>
      <c r="K527" t="s">
        <v>68</v>
      </c>
      <c r="L527">
        <v>0</v>
      </c>
      <c r="M527">
        <v>0</v>
      </c>
      <c r="N527">
        <v>0</v>
      </c>
      <c r="O527">
        <v>0</v>
      </c>
      <c r="P527">
        <v>3520</v>
      </c>
      <c r="Q527">
        <v>3840</v>
      </c>
      <c r="R527" t="s">
        <v>63</v>
      </c>
      <c r="S527" t="s">
        <v>63</v>
      </c>
    </row>
    <row r="528" spans="1:19" x14ac:dyDescent="0.4">
      <c r="A528" t="s">
        <v>67</v>
      </c>
      <c r="B528">
        <v>202112</v>
      </c>
      <c r="C528">
        <v>20200</v>
      </c>
      <c r="D528" t="s">
        <v>62</v>
      </c>
      <c r="E528" t="s">
        <v>63</v>
      </c>
      <c r="F528" t="s">
        <v>63</v>
      </c>
      <c r="G528" t="s">
        <v>63</v>
      </c>
      <c r="H528" t="s">
        <v>63</v>
      </c>
      <c r="I528">
        <v>7.3</v>
      </c>
      <c r="J528" t="s">
        <v>68</v>
      </c>
      <c r="K528" t="s">
        <v>68</v>
      </c>
      <c r="L528">
        <v>1</v>
      </c>
      <c r="M528">
        <v>0</v>
      </c>
      <c r="N528">
        <v>1</v>
      </c>
      <c r="O528">
        <v>464</v>
      </c>
      <c r="P528">
        <v>3.6</v>
      </c>
      <c r="Q528">
        <v>18.5</v>
      </c>
      <c r="R528">
        <v>86</v>
      </c>
      <c r="S528">
        <v>4.5</v>
      </c>
    </row>
    <row r="529" spans="1:19" x14ac:dyDescent="0.4">
      <c r="A529" t="s">
        <v>67</v>
      </c>
      <c r="B529">
        <v>202112</v>
      </c>
      <c r="C529">
        <v>20200</v>
      </c>
      <c r="D529" t="s">
        <v>64</v>
      </c>
      <c r="E529" t="s">
        <v>63</v>
      </c>
      <c r="F529" t="s">
        <v>63</v>
      </c>
      <c r="G529" t="s">
        <v>63</v>
      </c>
      <c r="H529" t="s">
        <v>63</v>
      </c>
      <c r="I529">
        <v>3930</v>
      </c>
      <c r="J529" t="s">
        <v>68</v>
      </c>
      <c r="K529" t="s">
        <v>68</v>
      </c>
      <c r="L529">
        <v>0</v>
      </c>
      <c r="M529">
        <v>0</v>
      </c>
      <c r="N529">
        <v>0</v>
      </c>
      <c r="O529">
        <v>0</v>
      </c>
      <c r="P529">
        <v>3720</v>
      </c>
      <c r="Q529">
        <v>4040</v>
      </c>
      <c r="R529" t="s">
        <v>63</v>
      </c>
      <c r="S529" t="s">
        <v>63</v>
      </c>
    </row>
    <row r="530" spans="1:19" x14ac:dyDescent="0.4">
      <c r="A530" t="s">
        <v>67</v>
      </c>
      <c r="B530">
        <v>202112</v>
      </c>
      <c r="C530">
        <v>20400</v>
      </c>
      <c r="D530" t="s">
        <v>62</v>
      </c>
      <c r="E530" t="s">
        <v>63</v>
      </c>
      <c r="F530" t="s">
        <v>63</v>
      </c>
      <c r="G530" t="s">
        <v>63</v>
      </c>
      <c r="H530" t="s">
        <v>63</v>
      </c>
      <c r="I530">
        <v>5.4</v>
      </c>
      <c r="J530" t="s">
        <v>68</v>
      </c>
      <c r="K530" t="s">
        <v>68</v>
      </c>
      <c r="L530">
        <v>0</v>
      </c>
      <c r="M530">
        <v>0</v>
      </c>
      <c r="N530">
        <v>0</v>
      </c>
      <c r="O530">
        <v>439</v>
      </c>
      <c r="P530">
        <v>2.8</v>
      </c>
      <c r="Q530">
        <v>17.5</v>
      </c>
      <c r="R530">
        <v>78</v>
      </c>
      <c r="S530">
        <v>7.7</v>
      </c>
    </row>
    <row r="531" spans="1:19" x14ac:dyDescent="0.4">
      <c r="A531" t="s">
        <v>67</v>
      </c>
      <c r="B531">
        <v>202112</v>
      </c>
      <c r="C531">
        <v>20400</v>
      </c>
      <c r="D531" t="s">
        <v>64</v>
      </c>
      <c r="E531" t="s">
        <v>63</v>
      </c>
      <c r="F531" t="s">
        <v>63</v>
      </c>
      <c r="G531" t="s">
        <v>63</v>
      </c>
      <c r="H531" t="s">
        <v>63</v>
      </c>
      <c r="I531">
        <v>4130</v>
      </c>
      <c r="J531" t="s">
        <v>68</v>
      </c>
      <c r="K531" s="28" t="s">
        <v>68</v>
      </c>
      <c r="L531">
        <v>0</v>
      </c>
      <c r="M531">
        <v>0</v>
      </c>
      <c r="N531">
        <v>0</v>
      </c>
      <c r="O531">
        <v>0</v>
      </c>
      <c r="P531">
        <v>3920</v>
      </c>
      <c r="Q531">
        <v>4240</v>
      </c>
      <c r="R531" t="s">
        <v>63</v>
      </c>
      <c r="S531" t="s">
        <v>63</v>
      </c>
    </row>
    <row r="532" spans="1:19" x14ac:dyDescent="0.4">
      <c r="A532" t="s">
        <v>67</v>
      </c>
      <c r="B532">
        <v>202112</v>
      </c>
      <c r="C532">
        <v>20600</v>
      </c>
      <c r="D532" t="s">
        <v>62</v>
      </c>
      <c r="E532" t="s">
        <v>63</v>
      </c>
      <c r="F532" t="s">
        <v>63</v>
      </c>
      <c r="G532" t="s">
        <v>63</v>
      </c>
      <c r="H532" t="s">
        <v>63</v>
      </c>
      <c r="I532">
        <v>4</v>
      </c>
      <c r="J532" t="s">
        <v>68</v>
      </c>
      <c r="K532" t="s">
        <v>68</v>
      </c>
      <c r="L532">
        <v>0</v>
      </c>
      <c r="M532">
        <v>0</v>
      </c>
      <c r="N532">
        <v>0</v>
      </c>
      <c r="O532">
        <v>487</v>
      </c>
      <c r="P532">
        <v>2.1</v>
      </c>
      <c r="Q532">
        <v>16.5</v>
      </c>
      <c r="R532">
        <v>155</v>
      </c>
      <c r="S532">
        <v>0.8</v>
      </c>
    </row>
    <row r="533" spans="1:19" x14ac:dyDescent="0.4">
      <c r="A533" t="s">
        <v>67</v>
      </c>
      <c r="B533">
        <v>202112</v>
      </c>
      <c r="C533">
        <v>20600</v>
      </c>
      <c r="D533" t="s">
        <v>64</v>
      </c>
      <c r="E533" t="s">
        <v>63</v>
      </c>
      <c r="F533" t="s">
        <v>63</v>
      </c>
      <c r="G533" t="s">
        <v>63</v>
      </c>
      <c r="H533" t="s">
        <v>63</v>
      </c>
      <c r="I533">
        <v>4330</v>
      </c>
      <c r="J533" t="s">
        <v>68</v>
      </c>
      <c r="K533" t="s">
        <v>68</v>
      </c>
      <c r="L533">
        <v>0</v>
      </c>
      <c r="M533">
        <v>0</v>
      </c>
      <c r="N533">
        <v>0</v>
      </c>
      <c r="O533">
        <v>0</v>
      </c>
      <c r="P533">
        <v>4120</v>
      </c>
      <c r="Q533">
        <v>4440</v>
      </c>
      <c r="R533" t="s">
        <v>63</v>
      </c>
      <c r="S533" t="s">
        <v>63</v>
      </c>
    </row>
    <row r="534" spans="1:19" x14ac:dyDescent="0.4">
      <c r="A534" t="s">
        <v>67</v>
      </c>
      <c r="B534">
        <v>202112</v>
      </c>
      <c r="C534">
        <v>20800</v>
      </c>
      <c r="D534" t="s">
        <v>62</v>
      </c>
      <c r="E534" t="s">
        <v>63</v>
      </c>
      <c r="F534" t="s">
        <v>63</v>
      </c>
      <c r="G534" t="s">
        <v>63</v>
      </c>
      <c r="H534" t="s">
        <v>63</v>
      </c>
      <c r="I534">
        <v>2.9</v>
      </c>
      <c r="J534" t="s">
        <v>68</v>
      </c>
      <c r="K534" t="s">
        <v>68</v>
      </c>
      <c r="L534">
        <v>0</v>
      </c>
      <c r="M534">
        <v>0</v>
      </c>
      <c r="N534">
        <v>0</v>
      </c>
      <c r="O534">
        <v>473</v>
      </c>
      <c r="P534">
        <v>1.5</v>
      </c>
      <c r="Q534">
        <v>16</v>
      </c>
      <c r="R534">
        <v>63</v>
      </c>
      <c r="S534">
        <v>11</v>
      </c>
    </row>
    <row r="535" spans="1:19" x14ac:dyDescent="0.4">
      <c r="A535" t="s">
        <v>67</v>
      </c>
      <c r="B535">
        <v>202112</v>
      </c>
      <c r="C535">
        <v>20800</v>
      </c>
      <c r="D535" t="s">
        <v>64</v>
      </c>
      <c r="E535" t="s">
        <v>63</v>
      </c>
      <c r="F535" t="s">
        <v>63</v>
      </c>
      <c r="G535" t="s">
        <v>63</v>
      </c>
      <c r="H535" t="s">
        <v>63</v>
      </c>
      <c r="I535">
        <v>4530</v>
      </c>
      <c r="J535" t="s">
        <v>68</v>
      </c>
      <c r="K535" t="s">
        <v>68</v>
      </c>
      <c r="L535">
        <v>0</v>
      </c>
      <c r="M535">
        <v>0</v>
      </c>
      <c r="N535">
        <v>0</v>
      </c>
      <c r="O535">
        <v>0</v>
      </c>
      <c r="P535">
        <v>4320</v>
      </c>
      <c r="Q535">
        <v>4640</v>
      </c>
      <c r="R535" t="s">
        <v>63</v>
      </c>
      <c r="S535" t="s">
        <v>63</v>
      </c>
    </row>
    <row r="536" spans="1:19" x14ac:dyDescent="0.4">
      <c r="A536" t="s">
        <v>67</v>
      </c>
      <c r="B536">
        <v>202112</v>
      </c>
      <c r="C536">
        <v>21000</v>
      </c>
      <c r="D536" t="s">
        <v>62</v>
      </c>
      <c r="E536">
        <v>1.7</v>
      </c>
      <c r="F536">
        <v>1.7</v>
      </c>
      <c r="G536">
        <v>1.7</v>
      </c>
      <c r="H536">
        <v>1.7</v>
      </c>
      <c r="I536">
        <v>2.9</v>
      </c>
      <c r="J536" t="s">
        <v>261</v>
      </c>
      <c r="K536" t="s">
        <v>812</v>
      </c>
      <c r="L536">
        <v>10</v>
      </c>
      <c r="M536">
        <v>1</v>
      </c>
      <c r="N536">
        <v>11</v>
      </c>
      <c r="O536">
        <v>464</v>
      </c>
      <c r="P536">
        <v>1.2</v>
      </c>
      <c r="Q536">
        <v>15.5</v>
      </c>
      <c r="R536">
        <v>162</v>
      </c>
      <c r="S536">
        <v>0.3</v>
      </c>
    </row>
    <row r="537" spans="1:19" x14ac:dyDescent="0.4">
      <c r="A537" t="s">
        <v>67</v>
      </c>
      <c r="B537">
        <v>202112</v>
      </c>
      <c r="C537">
        <v>21000</v>
      </c>
      <c r="D537" t="s">
        <v>64</v>
      </c>
      <c r="E537" t="s">
        <v>63</v>
      </c>
      <c r="F537" t="s">
        <v>63</v>
      </c>
      <c r="G537" t="s">
        <v>63</v>
      </c>
      <c r="H537" t="s">
        <v>63</v>
      </c>
      <c r="I537">
        <v>4730</v>
      </c>
      <c r="J537" t="s">
        <v>68</v>
      </c>
      <c r="K537" t="s">
        <v>68</v>
      </c>
      <c r="L537">
        <v>0</v>
      </c>
      <c r="M537">
        <v>0</v>
      </c>
      <c r="N537">
        <v>0</v>
      </c>
      <c r="O537">
        <v>0</v>
      </c>
      <c r="P537">
        <v>4520</v>
      </c>
      <c r="Q537">
        <v>4840</v>
      </c>
      <c r="R537" t="s">
        <v>63</v>
      </c>
      <c r="S537" t="s">
        <v>63</v>
      </c>
    </row>
    <row r="538" spans="1:19" x14ac:dyDescent="0.4">
      <c r="A538" t="s">
        <v>67</v>
      </c>
      <c r="B538">
        <v>202112</v>
      </c>
      <c r="C538">
        <v>21200</v>
      </c>
      <c r="D538" t="s">
        <v>62</v>
      </c>
      <c r="E538" t="s">
        <v>63</v>
      </c>
      <c r="F538" t="s">
        <v>63</v>
      </c>
      <c r="G538" t="s">
        <v>63</v>
      </c>
      <c r="H538" t="s">
        <v>63</v>
      </c>
      <c r="I538">
        <v>2.9</v>
      </c>
      <c r="J538" t="s">
        <v>68</v>
      </c>
      <c r="K538" t="s">
        <v>68</v>
      </c>
      <c r="L538">
        <v>0</v>
      </c>
      <c r="M538">
        <v>0</v>
      </c>
      <c r="N538">
        <v>0</v>
      </c>
      <c r="O538">
        <v>447</v>
      </c>
      <c r="P538">
        <v>2.9</v>
      </c>
      <c r="Q538">
        <v>15</v>
      </c>
      <c r="R538">
        <v>49.5</v>
      </c>
      <c r="S538">
        <v>5.8</v>
      </c>
    </row>
    <row r="539" spans="1:19" x14ac:dyDescent="0.4">
      <c r="A539" t="s">
        <v>67</v>
      </c>
      <c r="B539">
        <v>202112</v>
      </c>
      <c r="C539">
        <v>21200</v>
      </c>
      <c r="D539" t="s">
        <v>64</v>
      </c>
      <c r="E539" t="s">
        <v>63</v>
      </c>
      <c r="F539" t="s">
        <v>63</v>
      </c>
      <c r="G539" t="s">
        <v>63</v>
      </c>
      <c r="H539" t="s">
        <v>63</v>
      </c>
      <c r="I539">
        <v>4930</v>
      </c>
      <c r="J539" t="s">
        <v>68</v>
      </c>
      <c r="K539" t="s">
        <v>68</v>
      </c>
      <c r="L539">
        <v>0</v>
      </c>
      <c r="M539">
        <v>0</v>
      </c>
      <c r="N539">
        <v>0</v>
      </c>
      <c r="O539">
        <v>0</v>
      </c>
      <c r="P539">
        <v>4720</v>
      </c>
      <c r="Q539">
        <v>5040</v>
      </c>
      <c r="R539" t="s">
        <v>63</v>
      </c>
      <c r="S539" t="s">
        <v>63</v>
      </c>
    </row>
    <row r="540" spans="1:19" x14ac:dyDescent="0.4">
      <c r="A540" t="s">
        <v>67</v>
      </c>
      <c r="B540">
        <v>202112</v>
      </c>
      <c r="C540">
        <v>21400</v>
      </c>
      <c r="D540" t="s">
        <v>62</v>
      </c>
      <c r="E540" t="s">
        <v>63</v>
      </c>
      <c r="F540" t="s">
        <v>63</v>
      </c>
      <c r="G540" t="s">
        <v>63</v>
      </c>
      <c r="H540" t="s">
        <v>63</v>
      </c>
      <c r="I540">
        <v>2.1</v>
      </c>
      <c r="J540" t="s">
        <v>68</v>
      </c>
      <c r="K540" t="s">
        <v>68</v>
      </c>
      <c r="L540">
        <v>0</v>
      </c>
      <c r="M540">
        <v>0</v>
      </c>
      <c r="N540">
        <v>0</v>
      </c>
      <c r="O540">
        <v>408</v>
      </c>
      <c r="P540">
        <v>2.1</v>
      </c>
      <c r="Q540">
        <v>5</v>
      </c>
      <c r="R540">
        <v>40.5</v>
      </c>
      <c r="S540">
        <v>6.1</v>
      </c>
    </row>
    <row r="541" spans="1:19" x14ac:dyDescent="0.4">
      <c r="A541" t="s">
        <v>67</v>
      </c>
      <c r="B541">
        <v>202112</v>
      </c>
      <c r="C541">
        <v>21400</v>
      </c>
      <c r="D541" t="s">
        <v>64</v>
      </c>
      <c r="E541" t="s">
        <v>63</v>
      </c>
      <c r="F541" t="s">
        <v>63</v>
      </c>
      <c r="G541" t="s">
        <v>63</v>
      </c>
      <c r="H541" t="s">
        <v>63</v>
      </c>
      <c r="I541">
        <v>5130</v>
      </c>
      <c r="J541" t="s">
        <v>68</v>
      </c>
      <c r="K541" t="s">
        <v>68</v>
      </c>
      <c r="L541">
        <v>0</v>
      </c>
      <c r="M541">
        <v>0</v>
      </c>
      <c r="N541">
        <v>0</v>
      </c>
      <c r="O541">
        <v>0</v>
      </c>
      <c r="P541">
        <v>4920</v>
      </c>
      <c r="Q541">
        <v>5240</v>
      </c>
      <c r="R541" t="s">
        <v>63</v>
      </c>
      <c r="S541" t="s">
        <v>63</v>
      </c>
    </row>
    <row r="542" spans="1:19" x14ac:dyDescent="0.4">
      <c r="A542" t="s">
        <v>67</v>
      </c>
      <c r="B542">
        <v>202112</v>
      </c>
      <c r="C542">
        <v>21600</v>
      </c>
      <c r="D542" t="s">
        <v>62</v>
      </c>
      <c r="E542" t="s">
        <v>63</v>
      </c>
      <c r="F542" t="s">
        <v>63</v>
      </c>
      <c r="G542" t="s">
        <v>63</v>
      </c>
      <c r="H542" t="s">
        <v>63</v>
      </c>
      <c r="I542">
        <v>1</v>
      </c>
      <c r="J542" t="s">
        <v>68</v>
      </c>
      <c r="K542" t="s">
        <v>68</v>
      </c>
      <c r="L542">
        <v>0</v>
      </c>
      <c r="M542">
        <v>0</v>
      </c>
      <c r="N542">
        <v>0</v>
      </c>
      <c r="O542">
        <v>419</v>
      </c>
      <c r="P542">
        <v>1</v>
      </c>
      <c r="Q542">
        <v>5</v>
      </c>
      <c r="R542">
        <v>36.5</v>
      </c>
      <c r="S542">
        <v>4.4000000000000004</v>
      </c>
    </row>
    <row r="543" spans="1:19" x14ac:dyDescent="0.4">
      <c r="A543" t="s">
        <v>67</v>
      </c>
      <c r="B543">
        <v>202112</v>
      </c>
      <c r="C543">
        <v>21600</v>
      </c>
      <c r="D543" t="s">
        <v>64</v>
      </c>
      <c r="E543" t="s">
        <v>63</v>
      </c>
      <c r="F543" t="s">
        <v>63</v>
      </c>
      <c r="G543" t="s">
        <v>63</v>
      </c>
      <c r="H543" t="s">
        <v>63</v>
      </c>
      <c r="I543">
        <v>5330</v>
      </c>
      <c r="J543" t="s">
        <v>68</v>
      </c>
      <c r="K543" t="s">
        <v>68</v>
      </c>
      <c r="L543">
        <v>0</v>
      </c>
      <c r="M543">
        <v>0</v>
      </c>
      <c r="N543">
        <v>0</v>
      </c>
      <c r="O543">
        <v>0</v>
      </c>
      <c r="P543">
        <v>5120</v>
      </c>
      <c r="Q543">
        <v>5440</v>
      </c>
      <c r="R543" t="s">
        <v>63</v>
      </c>
      <c r="S543" t="s">
        <v>63</v>
      </c>
    </row>
    <row r="544" spans="1:19" x14ac:dyDescent="0.4">
      <c r="A544" t="s">
        <v>67</v>
      </c>
      <c r="B544">
        <v>202112</v>
      </c>
      <c r="C544">
        <v>21800</v>
      </c>
      <c r="D544" t="s">
        <v>62</v>
      </c>
      <c r="E544" t="s">
        <v>63</v>
      </c>
      <c r="F544" t="s">
        <v>63</v>
      </c>
      <c r="G544" t="s">
        <v>63</v>
      </c>
      <c r="H544" t="s">
        <v>63</v>
      </c>
      <c r="I544">
        <v>1</v>
      </c>
      <c r="J544" t="s">
        <v>68</v>
      </c>
      <c r="K544" t="s">
        <v>68</v>
      </c>
      <c r="L544">
        <v>0</v>
      </c>
      <c r="M544">
        <v>0</v>
      </c>
      <c r="N544">
        <v>0</v>
      </c>
      <c r="O544">
        <v>483</v>
      </c>
      <c r="P544">
        <v>1</v>
      </c>
      <c r="Q544">
        <v>3</v>
      </c>
      <c r="R544">
        <v>32</v>
      </c>
      <c r="S544">
        <v>1.5</v>
      </c>
    </row>
    <row r="545" spans="1:19" x14ac:dyDescent="0.4">
      <c r="A545" t="s">
        <v>67</v>
      </c>
      <c r="B545">
        <v>202112</v>
      </c>
      <c r="C545">
        <v>21800</v>
      </c>
      <c r="D545" t="s">
        <v>64</v>
      </c>
      <c r="E545" t="s">
        <v>63</v>
      </c>
      <c r="F545" t="s">
        <v>63</v>
      </c>
      <c r="G545" t="s">
        <v>63</v>
      </c>
      <c r="H545" t="s">
        <v>63</v>
      </c>
      <c r="I545">
        <v>5530</v>
      </c>
      <c r="J545" t="s">
        <v>68</v>
      </c>
      <c r="K545" t="s">
        <v>68</v>
      </c>
      <c r="L545">
        <v>0</v>
      </c>
      <c r="M545">
        <v>0</v>
      </c>
      <c r="N545">
        <v>0</v>
      </c>
      <c r="O545">
        <v>1</v>
      </c>
      <c r="P545">
        <v>5320</v>
      </c>
      <c r="Q545">
        <v>5640</v>
      </c>
      <c r="R545">
        <v>4750</v>
      </c>
      <c r="S545">
        <v>4750</v>
      </c>
    </row>
    <row r="546" spans="1:19" x14ac:dyDescent="0.4">
      <c r="A546" t="s">
        <v>67</v>
      </c>
      <c r="B546">
        <v>202203</v>
      </c>
      <c r="C546">
        <v>13000</v>
      </c>
      <c r="D546" t="s">
        <v>62</v>
      </c>
      <c r="E546" t="s">
        <v>63</v>
      </c>
      <c r="F546" t="s">
        <v>63</v>
      </c>
      <c r="G546" t="s">
        <v>63</v>
      </c>
      <c r="H546" t="s">
        <v>63</v>
      </c>
      <c r="I546">
        <v>3330</v>
      </c>
      <c r="J546" t="s">
        <v>68</v>
      </c>
      <c r="K546" t="s">
        <v>68</v>
      </c>
      <c r="L546">
        <v>0</v>
      </c>
      <c r="M546">
        <v>0</v>
      </c>
      <c r="N546">
        <v>0</v>
      </c>
      <c r="O546">
        <v>2</v>
      </c>
      <c r="P546">
        <v>3230</v>
      </c>
      <c r="Q546">
        <v>3510</v>
      </c>
      <c r="R546">
        <v>4200</v>
      </c>
      <c r="S546">
        <v>4200</v>
      </c>
    </row>
    <row r="547" spans="1:19" x14ac:dyDescent="0.4">
      <c r="A547" t="s">
        <v>67</v>
      </c>
      <c r="B547">
        <v>202203</v>
      </c>
      <c r="C547">
        <v>13000</v>
      </c>
      <c r="D547" t="s">
        <v>64</v>
      </c>
      <c r="E547">
        <v>174</v>
      </c>
      <c r="F547">
        <v>174</v>
      </c>
      <c r="G547">
        <v>174</v>
      </c>
      <c r="H547">
        <v>174</v>
      </c>
      <c r="I547">
        <v>185</v>
      </c>
      <c r="J547" t="s">
        <v>87</v>
      </c>
      <c r="K547" t="s">
        <v>813</v>
      </c>
      <c r="L547">
        <v>0</v>
      </c>
      <c r="M547">
        <v>1</v>
      </c>
      <c r="N547">
        <v>1</v>
      </c>
      <c r="O547">
        <v>277</v>
      </c>
      <c r="P547">
        <v>180</v>
      </c>
      <c r="Q547">
        <v>189</v>
      </c>
      <c r="R547">
        <v>278</v>
      </c>
      <c r="S547">
        <v>120</v>
      </c>
    </row>
    <row r="548" spans="1:19" x14ac:dyDescent="0.4">
      <c r="A548" t="s">
        <v>67</v>
      </c>
      <c r="B548">
        <v>202203</v>
      </c>
      <c r="C548">
        <v>13200</v>
      </c>
      <c r="D548" t="s">
        <v>62</v>
      </c>
      <c r="E548" t="s">
        <v>63</v>
      </c>
      <c r="F548" t="s">
        <v>63</v>
      </c>
      <c r="G548" t="s">
        <v>63</v>
      </c>
      <c r="H548" t="s">
        <v>63</v>
      </c>
      <c r="I548">
        <v>3150</v>
      </c>
      <c r="J548" t="s">
        <v>68</v>
      </c>
      <c r="K548" t="s">
        <v>68</v>
      </c>
      <c r="L548">
        <v>0</v>
      </c>
      <c r="M548">
        <v>0</v>
      </c>
      <c r="N548">
        <v>0</v>
      </c>
      <c r="O548">
        <v>0</v>
      </c>
      <c r="P548">
        <v>3050</v>
      </c>
      <c r="Q548">
        <v>3330</v>
      </c>
      <c r="R548" t="s">
        <v>63</v>
      </c>
      <c r="S548" t="s">
        <v>63</v>
      </c>
    </row>
    <row r="549" spans="1:19" x14ac:dyDescent="0.4">
      <c r="A549" t="s">
        <v>67</v>
      </c>
      <c r="B549">
        <v>202203</v>
      </c>
      <c r="C549">
        <v>13200</v>
      </c>
      <c r="D549" t="s">
        <v>64</v>
      </c>
      <c r="E549">
        <v>191</v>
      </c>
      <c r="F549">
        <v>191</v>
      </c>
      <c r="G549">
        <v>191</v>
      </c>
      <c r="H549">
        <v>191</v>
      </c>
      <c r="I549">
        <v>204</v>
      </c>
      <c r="J549" t="s">
        <v>134</v>
      </c>
      <c r="K549" t="s">
        <v>814</v>
      </c>
      <c r="L549">
        <v>2</v>
      </c>
      <c r="M549">
        <v>1</v>
      </c>
      <c r="N549">
        <v>3</v>
      </c>
      <c r="O549">
        <v>95</v>
      </c>
      <c r="P549">
        <v>199</v>
      </c>
      <c r="Q549">
        <v>209</v>
      </c>
      <c r="R549">
        <v>320</v>
      </c>
      <c r="S549">
        <v>126</v>
      </c>
    </row>
    <row r="550" spans="1:19" x14ac:dyDescent="0.4">
      <c r="A550" t="s">
        <v>67</v>
      </c>
      <c r="B550">
        <v>202203</v>
      </c>
      <c r="C550">
        <v>13400</v>
      </c>
      <c r="D550" t="s">
        <v>62</v>
      </c>
      <c r="E550" t="s">
        <v>63</v>
      </c>
      <c r="F550" t="s">
        <v>63</v>
      </c>
      <c r="G550" t="s">
        <v>63</v>
      </c>
      <c r="H550" t="s">
        <v>63</v>
      </c>
      <c r="I550">
        <v>2970</v>
      </c>
      <c r="J550" t="s">
        <v>68</v>
      </c>
      <c r="K550" t="s">
        <v>68</v>
      </c>
      <c r="L550">
        <v>0</v>
      </c>
      <c r="M550">
        <v>0</v>
      </c>
      <c r="N550">
        <v>0</v>
      </c>
      <c r="O550">
        <v>0</v>
      </c>
      <c r="P550">
        <v>2870</v>
      </c>
      <c r="Q550">
        <v>3150</v>
      </c>
      <c r="R550" t="s">
        <v>63</v>
      </c>
      <c r="S550" t="s">
        <v>63</v>
      </c>
    </row>
    <row r="551" spans="1:19" x14ac:dyDescent="0.4">
      <c r="A551" t="s">
        <v>67</v>
      </c>
      <c r="B551">
        <v>202203</v>
      </c>
      <c r="C551">
        <v>13400</v>
      </c>
      <c r="D551" t="s">
        <v>64</v>
      </c>
      <c r="E551" t="s">
        <v>63</v>
      </c>
      <c r="F551" t="s">
        <v>63</v>
      </c>
      <c r="G551" t="s">
        <v>63</v>
      </c>
      <c r="H551" t="s">
        <v>63</v>
      </c>
      <c r="I551">
        <v>227</v>
      </c>
      <c r="J551" t="s">
        <v>68</v>
      </c>
      <c r="K551" t="s">
        <v>68</v>
      </c>
      <c r="L551">
        <v>0</v>
      </c>
      <c r="M551">
        <v>0</v>
      </c>
      <c r="N551">
        <v>0</v>
      </c>
      <c r="O551">
        <v>32</v>
      </c>
      <c r="P551">
        <v>214</v>
      </c>
      <c r="Q551">
        <v>240</v>
      </c>
      <c r="R551">
        <v>346</v>
      </c>
      <c r="S551">
        <v>155</v>
      </c>
    </row>
    <row r="552" spans="1:19" x14ac:dyDescent="0.4">
      <c r="A552" t="s">
        <v>67</v>
      </c>
      <c r="B552">
        <v>202203</v>
      </c>
      <c r="C552">
        <v>13600</v>
      </c>
      <c r="D552" t="s">
        <v>62</v>
      </c>
      <c r="E552" t="s">
        <v>63</v>
      </c>
      <c r="F552" t="s">
        <v>63</v>
      </c>
      <c r="G552" t="s">
        <v>63</v>
      </c>
      <c r="H552" t="s">
        <v>63</v>
      </c>
      <c r="I552">
        <v>2790</v>
      </c>
      <c r="J552" t="s">
        <v>68</v>
      </c>
      <c r="K552" t="s">
        <v>68</v>
      </c>
      <c r="L552">
        <v>0</v>
      </c>
      <c r="M552">
        <v>0</v>
      </c>
      <c r="N552">
        <v>0</v>
      </c>
      <c r="O552">
        <v>0</v>
      </c>
      <c r="P552">
        <v>2680</v>
      </c>
      <c r="Q552">
        <v>2990</v>
      </c>
      <c r="R552" t="s">
        <v>63</v>
      </c>
      <c r="S552" t="s">
        <v>63</v>
      </c>
    </row>
    <row r="553" spans="1:19" x14ac:dyDescent="0.4">
      <c r="A553" t="s">
        <v>67</v>
      </c>
      <c r="B553">
        <v>202203</v>
      </c>
      <c r="C553">
        <v>13600</v>
      </c>
      <c r="D553" t="s">
        <v>64</v>
      </c>
      <c r="E553" t="s">
        <v>63</v>
      </c>
      <c r="F553" t="s">
        <v>63</v>
      </c>
      <c r="G553" t="s">
        <v>63</v>
      </c>
      <c r="H553" t="s">
        <v>63</v>
      </c>
      <c r="I553">
        <v>251</v>
      </c>
      <c r="J553" t="s">
        <v>68</v>
      </c>
      <c r="K553" t="s">
        <v>68</v>
      </c>
      <c r="L553">
        <v>0</v>
      </c>
      <c r="M553">
        <v>0</v>
      </c>
      <c r="N553">
        <v>0</v>
      </c>
      <c r="O553">
        <v>127</v>
      </c>
      <c r="P553">
        <v>237</v>
      </c>
      <c r="Q553">
        <v>274</v>
      </c>
      <c r="R553">
        <v>350</v>
      </c>
      <c r="S553">
        <v>158</v>
      </c>
    </row>
    <row r="554" spans="1:19" x14ac:dyDescent="0.4">
      <c r="A554" t="s">
        <v>67</v>
      </c>
      <c r="B554">
        <v>202203</v>
      </c>
      <c r="C554">
        <v>13800</v>
      </c>
      <c r="D554" t="s">
        <v>62</v>
      </c>
      <c r="E554" t="s">
        <v>63</v>
      </c>
      <c r="F554" t="s">
        <v>63</v>
      </c>
      <c r="G554" t="s">
        <v>63</v>
      </c>
      <c r="H554" t="s">
        <v>63</v>
      </c>
      <c r="I554">
        <v>2620</v>
      </c>
      <c r="J554" t="s">
        <v>68</v>
      </c>
      <c r="K554" t="s">
        <v>68</v>
      </c>
      <c r="L554">
        <v>0</v>
      </c>
      <c r="M554">
        <v>0</v>
      </c>
      <c r="N554">
        <v>0</v>
      </c>
      <c r="O554">
        <v>0</v>
      </c>
      <c r="P554">
        <v>2500</v>
      </c>
      <c r="Q554">
        <v>2820</v>
      </c>
      <c r="R554" t="s">
        <v>63</v>
      </c>
      <c r="S554" t="s">
        <v>63</v>
      </c>
    </row>
    <row r="555" spans="1:19" x14ac:dyDescent="0.4">
      <c r="A555" t="s">
        <v>67</v>
      </c>
      <c r="B555">
        <v>202203</v>
      </c>
      <c r="C555">
        <v>13800</v>
      </c>
      <c r="D555" t="s">
        <v>64</v>
      </c>
      <c r="E555" t="s">
        <v>63</v>
      </c>
      <c r="F555" t="s">
        <v>63</v>
      </c>
      <c r="G555" t="s">
        <v>63</v>
      </c>
      <c r="H555" t="s">
        <v>63</v>
      </c>
      <c r="I555">
        <v>279</v>
      </c>
      <c r="J555" t="s">
        <v>68</v>
      </c>
      <c r="K555" t="s">
        <v>68</v>
      </c>
      <c r="L555">
        <v>0</v>
      </c>
      <c r="M555">
        <v>0</v>
      </c>
      <c r="N555">
        <v>0</v>
      </c>
      <c r="O555">
        <v>72</v>
      </c>
      <c r="P555">
        <v>262</v>
      </c>
      <c r="Q555">
        <v>298</v>
      </c>
      <c r="R555">
        <v>368</v>
      </c>
      <c r="S555">
        <v>177</v>
      </c>
    </row>
    <row r="556" spans="1:19" x14ac:dyDescent="0.4">
      <c r="A556" t="s">
        <v>67</v>
      </c>
      <c r="B556">
        <v>202203</v>
      </c>
      <c r="C556">
        <v>14000</v>
      </c>
      <c r="D556" t="s">
        <v>62</v>
      </c>
      <c r="E556" t="s">
        <v>63</v>
      </c>
      <c r="F556" t="s">
        <v>63</v>
      </c>
      <c r="G556" t="s">
        <v>63</v>
      </c>
      <c r="H556" t="s">
        <v>63</v>
      </c>
      <c r="I556">
        <v>2450</v>
      </c>
      <c r="J556" t="s">
        <v>68</v>
      </c>
      <c r="K556" t="s">
        <v>68</v>
      </c>
      <c r="L556">
        <v>0</v>
      </c>
      <c r="M556">
        <v>0</v>
      </c>
      <c r="N556">
        <v>0</v>
      </c>
      <c r="O556">
        <v>0</v>
      </c>
      <c r="P556">
        <v>2330</v>
      </c>
      <c r="Q556">
        <v>2650</v>
      </c>
      <c r="R556" t="s">
        <v>63</v>
      </c>
      <c r="S556" t="s">
        <v>63</v>
      </c>
    </row>
    <row r="557" spans="1:19" x14ac:dyDescent="0.4">
      <c r="A557" t="s">
        <v>67</v>
      </c>
      <c r="B557">
        <v>202203</v>
      </c>
      <c r="C557">
        <v>14000</v>
      </c>
      <c r="D557" t="s">
        <v>64</v>
      </c>
      <c r="E557" t="s">
        <v>63</v>
      </c>
      <c r="F557" t="s">
        <v>63</v>
      </c>
      <c r="G557" t="s">
        <v>63</v>
      </c>
      <c r="H557" t="s">
        <v>63</v>
      </c>
      <c r="I557">
        <v>309</v>
      </c>
      <c r="J557" t="s">
        <v>68</v>
      </c>
      <c r="K557" t="s">
        <v>68</v>
      </c>
      <c r="L557">
        <v>0</v>
      </c>
      <c r="M557">
        <v>0</v>
      </c>
      <c r="N557">
        <v>0</v>
      </c>
      <c r="O557">
        <v>27</v>
      </c>
      <c r="P557">
        <v>289</v>
      </c>
      <c r="Q557">
        <v>330</v>
      </c>
      <c r="R557">
        <v>391</v>
      </c>
      <c r="S557">
        <v>207</v>
      </c>
    </row>
    <row r="558" spans="1:19" x14ac:dyDescent="0.4">
      <c r="A558" t="s">
        <v>67</v>
      </c>
      <c r="B558">
        <v>202203</v>
      </c>
      <c r="C558">
        <v>14200</v>
      </c>
      <c r="D558" t="s">
        <v>62</v>
      </c>
      <c r="E558" t="s">
        <v>63</v>
      </c>
      <c r="F558" t="s">
        <v>63</v>
      </c>
      <c r="G558" t="s">
        <v>63</v>
      </c>
      <c r="H558" t="s">
        <v>63</v>
      </c>
      <c r="I558">
        <v>2290</v>
      </c>
      <c r="J558" t="s">
        <v>68</v>
      </c>
      <c r="K558" t="s">
        <v>68</v>
      </c>
      <c r="L558">
        <v>0</v>
      </c>
      <c r="M558">
        <v>0</v>
      </c>
      <c r="N558">
        <v>0</v>
      </c>
      <c r="O558">
        <v>0</v>
      </c>
      <c r="P558">
        <v>2160</v>
      </c>
      <c r="Q558">
        <v>2480</v>
      </c>
      <c r="R558" t="s">
        <v>63</v>
      </c>
      <c r="S558" t="s">
        <v>63</v>
      </c>
    </row>
    <row r="559" spans="1:19" x14ac:dyDescent="0.4">
      <c r="A559" t="s">
        <v>67</v>
      </c>
      <c r="B559">
        <v>202203</v>
      </c>
      <c r="C559">
        <v>14200</v>
      </c>
      <c r="D559" t="s">
        <v>64</v>
      </c>
      <c r="E559" t="s">
        <v>63</v>
      </c>
      <c r="F559" t="s">
        <v>63</v>
      </c>
      <c r="G559" t="s">
        <v>63</v>
      </c>
      <c r="H559" t="s">
        <v>63</v>
      </c>
      <c r="I559">
        <v>342</v>
      </c>
      <c r="J559" t="s">
        <v>68</v>
      </c>
      <c r="K559" t="s">
        <v>68</v>
      </c>
      <c r="L559">
        <v>0</v>
      </c>
      <c r="M559">
        <v>0</v>
      </c>
      <c r="N559">
        <v>0</v>
      </c>
      <c r="O559">
        <v>14</v>
      </c>
      <c r="P559">
        <v>323</v>
      </c>
      <c r="Q559">
        <v>365</v>
      </c>
      <c r="R559">
        <v>410</v>
      </c>
      <c r="S559">
        <v>227</v>
      </c>
    </row>
    <row r="560" spans="1:19" x14ac:dyDescent="0.4">
      <c r="A560" t="s">
        <v>67</v>
      </c>
      <c r="B560">
        <v>202203</v>
      </c>
      <c r="C560">
        <v>14400</v>
      </c>
      <c r="D560" t="s">
        <v>62</v>
      </c>
      <c r="E560" t="s">
        <v>63</v>
      </c>
      <c r="F560" t="s">
        <v>63</v>
      </c>
      <c r="G560" t="s">
        <v>63</v>
      </c>
      <c r="H560" t="s">
        <v>63</v>
      </c>
      <c r="I560">
        <v>2120</v>
      </c>
      <c r="J560" t="s">
        <v>68</v>
      </c>
      <c r="K560" t="s">
        <v>68</v>
      </c>
      <c r="L560">
        <v>0</v>
      </c>
      <c r="M560">
        <v>0</v>
      </c>
      <c r="N560">
        <v>0</v>
      </c>
      <c r="O560">
        <v>1</v>
      </c>
      <c r="P560">
        <v>2000</v>
      </c>
      <c r="Q560">
        <v>2300</v>
      </c>
      <c r="R560">
        <v>2460</v>
      </c>
      <c r="S560">
        <v>2460</v>
      </c>
    </row>
    <row r="561" spans="1:19" x14ac:dyDescent="0.4">
      <c r="A561" t="s">
        <v>67</v>
      </c>
      <c r="B561">
        <v>202203</v>
      </c>
      <c r="C561">
        <v>14400</v>
      </c>
      <c r="D561" t="s">
        <v>64</v>
      </c>
      <c r="E561">
        <v>378</v>
      </c>
      <c r="F561">
        <v>378</v>
      </c>
      <c r="G561">
        <v>378</v>
      </c>
      <c r="H561">
        <v>378</v>
      </c>
      <c r="I561">
        <v>378</v>
      </c>
      <c r="J561" t="s">
        <v>431</v>
      </c>
      <c r="K561" t="s">
        <v>815</v>
      </c>
      <c r="L561">
        <v>0</v>
      </c>
      <c r="M561">
        <v>1</v>
      </c>
      <c r="N561">
        <v>1</v>
      </c>
      <c r="O561">
        <v>24</v>
      </c>
      <c r="P561">
        <v>358</v>
      </c>
      <c r="Q561">
        <v>398</v>
      </c>
      <c r="R561">
        <v>432</v>
      </c>
      <c r="S561">
        <v>221</v>
      </c>
    </row>
    <row r="562" spans="1:19" x14ac:dyDescent="0.4">
      <c r="A562" t="s">
        <v>67</v>
      </c>
      <c r="B562">
        <v>202203</v>
      </c>
      <c r="C562">
        <v>14600</v>
      </c>
      <c r="D562" t="s">
        <v>62</v>
      </c>
      <c r="E562" t="s">
        <v>63</v>
      </c>
      <c r="F562" t="s">
        <v>63</v>
      </c>
      <c r="G562" t="s">
        <v>63</v>
      </c>
      <c r="H562" t="s">
        <v>63</v>
      </c>
      <c r="I562">
        <v>1960</v>
      </c>
      <c r="J562" t="s">
        <v>68</v>
      </c>
      <c r="K562" t="s">
        <v>68</v>
      </c>
      <c r="L562">
        <v>0</v>
      </c>
      <c r="M562">
        <v>0</v>
      </c>
      <c r="N562">
        <v>0</v>
      </c>
      <c r="O562">
        <v>0</v>
      </c>
      <c r="P562">
        <v>1830</v>
      </c>
      <c r="Q562">
        <v>2150</v>
      </c>
      <c r="R562" t="s">
        <v>63</v>
      </c>
      <c r="S562" t="s">
        <v>63</v>
      </c>
    </row>
    <row r="563" spans="1:19" x14ac:dyDescent="0.4">
      <c r="A563" t="s">
        <v>67</v>
      </c>
      <c r="B563">
        <v>202203</v>
      </c>
      <c r="C563">
        <v>14600</v>
      </c>
      <c r="D563" t="s">
        <v>64</v>
      </c>
      <c r="E563" t="s">
        <v>63</v>
      </c>
      <c r="F563" t="s">
        <v>63</v>
      </c>
      <c r="G563" t="s">
        <v>63</v>
      </c>
      <c r="H563" t="s">
        <v>63</v>
      </c>
      <c r="I563">
        <v>411</v>
      </c>
      <c r="J563" t="s">
        <v>68</v>
      </c>
      <c r="K563" t="s">
        <v>68</v>
      </c>
      <c r="L563">
        <v>0</v>
      </c>
      <c r="M563">
        <v>0</v>
      </c>
      <c r="N563">
        <v>0</v>
      </c>
      <c r="O563">
        <v>12</v>
      </c>
      <c r="P563">
        <v>399</v>
      </c>
      <c r="Q563">
        <v>436</v>
      </c>
      <c r="R563">
        <v>530</v>
      </c>
      <c r="S563">
        <v>292</v>
      </c>
    </row>
    <row r="564" spans="1:19" x14ac:dyDescent="0.4">
      <c r="A564" t="s">
        <v>67</v>
      </c>
      <c r="B564">
        <v>202203</v>
      </c>
      <c r="C564">
        <v>14800</v>
      </c>
      <c r="D564" t="s">
        <v>62</v>
      </c>
      <c r="E564" t="s">
        <v>63</v>
      </c>
      <c r="F564" t="s">
        <v>63</v>
      </c>
      <c r="G564" t="s">
        <v>63</v>
      </c>
      <c r="H564" t="s">
        <v>63</v>
      </c>
      <c r="I564">
        <v>1790</v>
      </c>
      <c r="J564" t="s">
        <v>68</v>
      </c>
      <c r="K564" t="s">
        <v>68</v>
      </c>
      <c r="L564">
        <v>0</v>
      </c>
      <c r="M564">
        <v>0</v>
      </c>
      <c r="N564">
        <v>0</v>
      </c>
      <c r="O564">
        <v>0</v>
      </c>
      <c r="P564">
        <v>1670</v>
      </c>
      <c r="Q564">
        <v>1940</v>
      </c>
      <c r="R564" t="s">
        <v>63</v>
      </c>
      <c r="S564" t="s">
        <v>63</v>
      </c>
    </row>
    <row r="565" spans="1:19" x14ac:dyDescent="0.4">
      <c r="A565" t="s">
        <v>67</v>
      </c>
      <c r="B565">
        <v>202203</v>
      </c>
      <c r="C565">
        <v>14800</v>
      </c>
      <c r="D565" t="s">
        <v>64</v>
      </c>
      <c r="E565">
        <v>448</v>
      </c>
      <c r="F565">
        <v>448</v>
      </c>
      <c r="G565">
        <v>448</v>
      </c>
      <c r="H565">
        <v>448</v>
      </c>
      <c r="I565">
        <v>448</v>
      </c>
      <c r="J565" t="s">
        <v>118</v>
      </c>
      <c r="K565" t="s">
        <v>816</v>
      </c>
      <c r="L565">
        <v>0</v>
      </c>
      <c r="M565">
        <v>1</v>
      </c>
      <c r="N565">
        <v>1</v>
      </c>
      <c r="O565">
        <v>30</v>
      </c>
      <c r="P565">
        <v>439</v>
      </c>
      <c r="Q565">
        <v>483</v>
      </c>
      <c r="R565">
        <v>510</v>
      </c>
      <c r="S565">
        <v>376</v>
      </c>
    </row>
    <row r="566" spans="1:19" x14ac:dyDescent="0.4">
      <c r="A566" t="s">
        <v>67</v>
      </c>
      <c r="B566">
        <v>202203</v>
      </c>
      <c r="C566">
        <v>15000</v>
      </c>
      <c r="D566" t="s">
        <v>62</v>
      </c>
      <c r="E566" t="s">
        <v>63</v>
      </c>
      <c r="F566" t="s">
        <v>63</v>
      </c>
      <c r="G566" t="s">
        <v>63</v>
      </c>
      <c r="H566" t="s">
        <v>63</v>
      </c>
      <c r="I566">
        <v>1650</v>
      </c>
      <c r="J566" t="s">
        <v>68</v>
      </c>
      <c r="K566" t="s">
        <v>68</v>
      </c>
      <c r="L566">
        <v>0</v>
      </c>
      <c r="M566">
        <v>0</v>
      </c>
      <c r="N566">
        <v>0</v>
      </c>
      <c r="O566">
        <v>0</v>
      </c>
      <c r="P566">
        <v>1520</v>
      </c>
      <c r="Q566">
        <v>1790</v>
      </c>
      <c r="R566">
        <v>2080</v>
      </c>
      <c r="S566">
        <v>2050</v>
      </c>
    </row>
    <row r="567" spans="1:19" x14ac:dyDescent="0.4">
      <c r="A567" t="s">
        <v>67</v>
      </c>
      <c r="B567">
        <v>202203</v>
      </c>
      <c r="C567">
        <v>15000</v>
      </c>
      <c r="D567" t="s">
        <v>64</v>
      </c>
      <c r="E567">
        <v>499</v>
      </c>
      <c r="F567">
        <v>499</v>
      </c>
      <c r="G567">
        <v>499</v>
      </c>
      <c r="H567">
        <v>499</v>
      </c>
      <c r="I567">
        <v>499</v>
      </c>
      <c r="J567" t="s">
        <v>275</v>
      </c>
      <c r="K567" t="s">
        <v>817</v>
      </c>
      <c r="L567">
        <v>0</v>
      </c>
      <c r="M567">
        <v>1</v>
      </c>
      <c r="N567">
        <v>1</v>
      </c>
      <c r="O567">
        <v>48</v>
      </c>
      <c r="P567">
        <v>486</v>
      </c>
      <c r="Q567">
        <v>535</v>
      </c>
      <c r="R567">
        <v>690</v>
      </c>
      <c r="S567">
        <v>304</v>
      </c>
    </row>
    <row r="568" spans="1:19" x14ac:dyDescent="0.4">
      <c r="A568" t="s">
        <v>67</v>
      </c>
      <c r="B568">
        <v>202203</v>
      </c>
      <c r="C568">
        <v>15200</v>
      </c>
      <c r="D568" t="s">
        <v>62</v>
      </c>
      <c r="E568" t="s">
        <v>63</v>
      </c>
      <c r="F568" t="s">
        <v>63</v>
      </c>
      <c r="G568" t="s">
        <v>63</v>
      </c>
      <c r="H568" t="s">
        <v>63</v>
      </c>
      <c r="I568">
        <v>1500</v>
      </c>
      <c r="J568" t="s">
        <v>68</v>
      </c>
      <c r="K568" t="s">
        <v>68</v>
      </c>
      <c r="L568">
        <v>0</v>
      </c>
      <c r="M568">
        <v>0</v>
      </c>
      <c r="N568">
        <v>0</v>
      </c>
      <c r="O568">
        <v>1</v>
      </c>
      <c r="P568">
        <v>1370</v>
      </c>
      <c r="Q568">
        <v>1640</v>
      </c>
      <c r="R568">
        <v>2400</v>
      </c>
      <c r="S568">
        <v>1570</v>
      </c>
    </row>
    <row r="569" spans="1:19" x14ac:dyDescent="0.4">
      <c r="A569" t="s">
        <v>67</v>
      </c>
      <c r="B569">
        <v>202203</v>
      </c>
      <c r="C569">
        <v>15200</v>
      </c>
      <c r="D569" t="s">
        <v>64</v>
      </c>
      <c r="E569" t="s">
        <v>63</v>
      </c>
      <c r="F569" t="s">
        <v>63</v>
      </c>
      <c r="G569" t="s">
        <v>63</v>
      </c>
      <c r="H569" t="s">
        <v>63</v>
      </c>
      <c r="I569">
        <v>555</v>
      </c>
      <c r="J569" t="s">
        <v>68</v>
      </c>
      <c r="K569" t="s">
        <v>68</v>
      </c>
      <c r="L569">
        <v>0</v>
      </c>
      <c r="M569">
        <v>0</v>
      </c>
      <c r="N569">
        <v>0</v>
      </c>
      <c r="O569">
        <v>34</v>
      </c>
      <c r="P569">
        <v>535</v>
      </c>
      <c r="Q569">
        <v>590</v>
      </c>
      <c r="R569">
        <v>650</v>
      </c>
      <c r="S569">
        <v>324</v>
      </c>
    </row>
    <row r="570" spans="1:19" x14ac:dyDescent="0.4">
      <c r="A570" t="s">
        <v>67</v>
      </c>
      <c r="B570">
        <v>202203</v>
      </c>
      <c r="C570">
        <v>15400</v>
      </c>
      <c r="D570" t="s">
        <v>62</v>
      </c>
      <c r="E570" t="s">
        <v>63</v>
      </c>
      <c r="F570" t="s">
        <v>63</v>
      </c>
      <c r="G570" t="s">
        <v>63</v>
      </c>
      <c r="H570" t="s">
        <v>63</v>
      </c>
      <c r="I570">
        <v>1370</v>
      </c>
      <c r="J570" t="s">
        <v>68</v>
      </c>
      <c r="K570" t="s">
        <v>68</v>
      </c>
      <c r="L570">
        <v>0</v>
      </c>
      <c r="M570">
        <v>0</v>
      </c>
      <c r="N570">
        <v>0</v>
      </c>
      <c r="O570">
        <v>0</v>
      </c>
      <c r="P570">
        <v>1270</v>
      </c>
      <c r="Q570">
        <v>1500</v>
      </c>
      <c r="R570" t="s">
        <v>63</v>
      </c>
      <c r="S570" t="s">
        <v>63</v>
      </c>
    </row>
    <row r="571" spans="1:19" x14ac:dyDescent="0.4">
      <c r="A571" t="s">
        <v>67</v>
      </c>
      <c r="B571">
        <v>202203</v>
      </c>
      <c r="C571">
        <v>15400</v>
      </c>
      <c r="D571" t="s">
        <v>64</v>
      </c>
      <c r="E571" t="s">
        <v>63</v>
      </c>
      <c r="F571" t="s">
        <v>63</v>
      </c>
      <c r="G571" t="s">
        <v>63</v>
      </c>
      <c r="H571" t="s">
        <v>63</v>
      </c>
      <c r="I571">
        <v>620</v>
      </c>
      <c r="J571" t="s">
        <v>68</v>
      </c>
      <c r="K571" t="s">
        <v>68</v>
      </c>
      <c r="L571">
        <v>0</v>
      </c>
      <c r="M571">
        <v>0</v>
      </c>
      <c r="N571">
        <v>0</v>
      </c>
      <c r="O571">
        <v>27</v>
      </c>
      <c r="P571">
        <v>595</v>
      </c>
      <c r="Q571">
        <v>645</v>
      </c>
      <c r="R571">
        <v>640</v>
      </c>
      <c r="S571">
        <v>375</v>
      </c>
    </row>
    <row r="572" spans="1:19" x14ac:dyDescent="0.4">
      <c r="A572" t="s">
        <v>67</v>
      </c>
      <c r="B572">
        <v>202203</v>
      </c>
      <c r="C572">
        <v>15600</v>
      </c>
      <c r="D572" t="s">
        <v>62</v>
      </c>
      <c r="E572" t="s">
        <v>63</v>
      </c>
      <c r="F572" t="s">
        <v>63</v>
      </c>
      <c r="G572" t="s">
        <v>63</v>
      </c>
      <c r="H572" t="s">
        <v>63</v>
      </c>
      <c r="I572">
        <v>1240</v>
      </c>
      <c r="J572" t="s">
        <v>68</v>
      </c>
      <c r="K572" t="s">
        <v>68</v>
      </c>
      <c r="L572">
        <v>0</v>
      </c>
      <c r="M572">
        <v>0</v>
      </c>
      <c r="N572">
        <v>0</v>
      </c>
      <c r="O572">
        <v>4</v>
      </c>
      <c r="P572">
        <v>1120</v>
      </c>
      <c r="Q572">
        <v>1360</v>
      </c>
      <c r="R572">
        <v>2080</v>
      </c>
      <c r="S572">
        <v>1320</v>
      </c>
    </row>
    <row r="573" spans="1:19" x14ac:dyDescent="0.4">
      <c r="A573" t="s">
        <v>67</v>
      </c>
      <c r="B573">
        <v>202203</v>
      </c>
      <c r="C573">
        <v>15600</v>
      </c>
      <c r="D573" t="s">
        <v>64</v>
      </c>
      <c r="E573" t="s">
        <v>63</v>
      </c>
      <c r="F573" t="s">
        <v>63</v>
      </c>
      <c r="G573" t="s">
        <v>63</v>
      </c>
      <c r="H573" t="s">
        <v>63</v>
      </c>
      <c r="I573">
        <v>690</v>
      </c>
      <c r="J573" t="s">
        <v>68</v>
      </c>
      <c r="K573" t="s">
        <v>68</v>
      </c>
      <c r="L573">
        <v>0</v>
      </c>
      <c r="M573">
        <v>0</v>
      </c>
      <c r="N573">
        <v>0</v>
      </c>
      <c r="O573">
        <v>54</v>
      </c>
      <c r="P573">
        <v>655</v>
      </c>
      <c r="Q573">
        <v>710</v>
      </c>
      <c r="R573">
        <v>870</v>
      </c>
      <c r="S573">
        <v>390</v>
      </c>
    </row>
    <row r="574" spans="1:19" x14ac:dyDescent="0.4">
      <c r="A574" t="s">
        <v>67</v>
      </c>
      <c r="B574">
        <v>202203</v>
      </c>
      <c r="C574">
        <v>15800</v>
      </c>
      <c r="D574" t="s">
        <v>62</v>
      </c>
      <c r="E574" t="s">
        <v>63</v>
      </c>
      <c r="F574" t="s">
        <v>63</v>
      </c>
      <c r="G574" t="s">
        <v>63</v>
      </c>
      <c r="H574" t="s">
        <v>63</v>
      </c>
      <c r="I574">
        <v>1110</v>
      </c>
      <c r="J574" t="s">
        <v>68</v>
      </c>
      <c r="K574" t="s">
        <v>68</v>
      </c>
      <c r="L574">
        <v>0</v>
      </c>
      <c r="M574">
        <v>0</v>
      </c>
      <c r="N574">
        <v>0</v>
      </c>
      <c r="O574">
        <v>4</v>
      </c>
      <c r="P574">
        <v>990</v>
      </c>
      <c r="Q574">
        <v>1130</v>
      </c>
      <c r="R574">
        <v>1850</v>
      </c>
      <c r="S574">
        <v>1160</v>
      </c>
    </row>
    <row r="575" spans="1:19" x14ac:dyDescent="0.4">
      <c r="A575" t="s">
        <v>67</v>
      </c>
      <c r="B575">
        <v>202203</v>
      </c>
      <c r="C575">
        <v>15800</v>
      </c>
      <c r="D575" t="s">
        <v>64</v>
      </c>
      <c r="E575" t="s">
        <v>63</v>
      </c>
      <c r="F575" t="s">
        <v>63</v>
      </c>
      <c r="G575" t="s">
        <v>63</v>
      </c>
      <c r="H575" t="s">
        <v>63</v>
      </c>
      <c r="I575">
        <v>765</v>
      </c>
      <c r="J575" t="s">
        <v>68</v>
      </c>
      <c r="K575" t="s">
        <v>68</v>
      </c>
      <c r="L575">
        <v>0</v>
      </c>
      <c r="M575">
        <v>0</v>
      </c>
      <c r="N575">
        <v>0</v>
      </c>
      <c r="O575">
        <v>31</v>
      </c>
      <c r="P575">
        <v>725</v>
      </c>
      <c r="Q575">
        <v>780</v>
      </c>
      <c r="R575">
        <v>900</v>
      </c>
      <c r="S575">
        <v>427</v>
      </c>
    </row>
    <row r="576" spans="1:19" x14ac:dyDescent="0.4">
      <c r="A576" t="s">
        <v>67</v>
      </c>
      <c r="B576">
        <v>202203</v>
      </c>
      <c r="C576">
        <v>16000</v>
      </c>
      <c r="D576" t="s">
        <v>62</v>
      </c>
      <c r="E576" t="s">
        <v>63</v>
      </c>
      <c r="F576" t="s">
        <v>63</v>
      </c>
      <c r="G576" t="s">
        <v>63</v>
      </c>
      <c r="H576" t="s">
        <v>63</v>
      </c>
      <c r="I576">
        <v>995</v>
      </c>
      <c r="J576" t="s">
        <v>68</v>
      </c>
      <c r="K576" t="s">
        <v>68</v>
      </c>
      <c r="L576">
        <v>0</v>
      </c>
      <c r="M576">
        <v>0</v>
      </c>
      <c r="N576">
        <v>0</v>
      </c>
      <c r="O576">
        <v>42</v>
      </c>
      <c r="P576">
        <v>945</v>
      </c>
      <c r="Q576">
        <v>1000</v>
      </c>
      <c r="R576">
        <v>1800</v>
      </c>
      <c r="S576">
        <v>910</v>
      </c>
    </row>
    <row r="577" spans="1:19" x14ac:dyDescent="0.4">
      <c r="A577" t="s">
        <v>67</v>
      </c>
      <c r="B577">
        <v>202203</v>
      </c>
      <c r="C577">
        <v>16000</v>
      </c>
      <c r="D577" t="s">
        <v>64</v>
      </c>
      <c r="E577" t="s">
        <v>63</v>
      </c>
      <c r="F577" t="s">
        <v>63</v>
      </c>
      <c r="G577" t="s">
        <v>63</v>
      </c>
      <c r="H577" t="s">
        <v>63</v>
      </c>
      <c r="I577">
        <v>845</v>
      </c>
      <c r="J577" t="s">
        <v>68</v>
      </c>
      <c r="K577" t="s">
        <v>68</v>
      </c>
      <c r="L577">
        <v>0</v>
      </c>
      <c r="M577">
        <v>0</v>
      </c>
      <c r="N577">
        <v>0</v>
      </c>
      <c r="O577">
        <v>47</v>
      </c>
      <c r="P577">
        <v>805</v>
      </c>
      <c r="Q577">
        <v>860</v>
      </c>
      <c r="R577">
        <v>1020</v>
      </c>
      <c r="S577">
        <v>486</v>
      </c>
    </row>
    <row r="578" spans="1:19" x14ac:dyDescent="0.4">
      <c r="A578" t="s">
        <v>67</v>
      </c>
      <c r="B578">
        <v>202203</v>
      </c>
      <c r="C578">
        <v>16200</v>
      </c>
      <c r="D578" t="s">
        <v>62</v>
      </c>
      <c r="E578" t="s">
        <v>63</v>
      </c>
      <c r="F578" t="s">
        <v>63</v>
      </c>
      <c r="G578" t="s">
        <v>63</v>
      </c>
      <c r="H578" t="s">
        <v>63</v>
      </c>
      <c r="I578">
        <v>885</v>
      </c>
      <c r="J578" t="s">
        <v>68</v>
      </c>
      <c r="K578" t="s">
        <v>68</v>
      </c>
      <c r="L578">
        <v>0</v>
      </c>
      <c r="M578">
        <v>0</v>
      </c>
      <c r="N578">
        <v>0</v>
      </c>
      <c r="O578">
        <v>5</v>
      </c>
      <c r="P578">
        <v>820</v>
      </c>
      <c r="Q578">
        <v>895</v>
      </c>
      <c r="R578">
        <v>1600</v>
      </c>
      <c r="S578">
        <v>865</v>
      </c>
    </row>
    <row r="579" spans="1:19" x14ac:dyDescent="0.4">
      <c r="A579" t="s">
        <v>67</v>
      </c>
      <c r="B579">
        <v>202203</v>
      </c>
      <c r="C579">
        <v>16200</v>
      </c>
      <c r="D579" t="s">
        <v>64</v>
      </c>
      <c r="E579" t="s">
        <v>63</v>
      </c>
      <c r="F579" t="s">
        <v>63</v>
      </c>
      <c r="G579" t="s">
        <v>63</v>
      </c>
      <c r="H579" t="s">
        <v>63</v>
      </c>
      <c r="I579">
        <v>935</v>
      </c>
      <c r="J579" t="s">
        <v>68</v>
      </c>
      <c r="K579" t="s">
        <v>68</v>
      </c>
      <c r="L579">
        <v>0</v>
      </c>
      <c r="M579">
        <v>0</v>
      </c>
      <c r="N579">
        <v>0</v>
      </c>
      <c r="O579">
        <v>39</v>
      </c>
      <c r="P579">
        <v>905</v>
      </c>
      <c r="Q579">
        <v>945</v>
      </c>
      <c r="R579">
        <v>970</v>
      </c>
      <c r="S579">
        <v>540</v>
      </c>
    </row>
    <row r="580" spans="1:19" x14ac:dyDescent="0.4">
      <c r="A580" t="s">
        <v>67</v>
      </c>
      <c r="B580">
        <v>202203</v>
      </c>
      <c r="C580">
        <v>16400</v>
      </c>
      <c r="D580" t="s">
        <v>62</v>
      </c>
      <c r="E580">
        <v>785</v>
      </c>
      <c r="F580">
        <v>785</v>
      </c>
      <c r="G580">
        <v>780</v>
      </c>
      <c r="H580">
        <v>780</v>
      </c>
      <c r="I580">
        <v>780</v>
      </c>
      <c r="J580" t="s">
        <v>86</v>
      </c>
      <c r="K580" t="s">
        <v>818</v>
      </c>
      <c r="L580">
        <v>0</v>
      </c>
      <c r="M580">
        <v>2</v>
      </c>
      <c r="N580">
        <v>2</v>
      </c>
      <c r="O580">
        <v>6</v>
      </c>
      <c r="P580">
        <v>755</v>
      </c>
      <c r="Q580">
        <v>790</v>
      </c>
      <c r="R580">
        <v>1500</v>
      </c>
      <c r="S580">
        <v>685</v>
      </c>
    </row>
    <row r="581" spans="1:19" x14ac:dyDescent="0.4">
      <c r="A581" t="s">
        <v>67</v>
      </c>
      <c r="B581">
        <v>202203</v>
      </c>
      <c r="C581">
        <v>16400</v>
      </c>
      <c r="D581" t="s">
        <v>64</v>
      </c>
      <c r="E581">
        <v>990</v>
      </c>
      <c r="F581">
        <v>990</v>
      </c>
      <c r="G581">
        <v>990</v>
      </c>
      <c r="H581">
        <v>990</v>
      </c>
      <c r="I581">
        <v>1030</v>
      </c>
      <c r="J581" t="s">
        <v>618</v>
      </c>
      <c r="K581" t="s">
        <v>294</v>
      </c>
      <c r="L581">
        <v>0</v>
      </c>
      <c r="M581">
        <v>1</v>
      </c>
      <c r="N581">
        <v>1</v>
      </c>
      <c r="O581">
        <v>125</v>
      </c>
      <c r="P581">
        <v>995</v>
      </c>
      <c r="Q581">
        <v>1040</v>
      </c>
      <c r="R581">
        <v>1080</v>
      </c>
      <c r="S581">
        <v>585</v>
      </c>
    </row>
    <row r="582" spans="1:19" x14ac:dyDescent="0.4">
      <c r="A582" t="s">
        <v>67</v>
      </c>
      <c r="B582">
        <v>202203</v>
      </c>
      <c r="C582">
        <v>16600</v>
      </c>
      <c r="D582" t="s">
        <v>62</v>
      </c>
      <c r="E582">
        <v>685</v>
      </c>
      <c r="F582">
        <v>685</v>
      </c>
      <c r="G582">
        <v>685</v>
      </c>
      <c r="H582">
        <v>685</v>
      </c>
      <c r="I582">
        <v>675</v>
      </c>
      <c r="J582" t="s">
        <v>142</v>
      </c>
      <c r="K582" t="s">
        <v>819</v>
      </c>
      <c r="L582">
        <v>0</v>
      </c>
      <c r="M582">
        <v>1</v>
      </c>
      <c r="N582">
        <v>1</v>
      </c>
      <c r="O582">
        <v>19</v>
      </c>
      <c r="P582">
        <v>630</v>
      </c>
      <c r="Q582">
        <v>680</v>
      </c>
      <c r="R582">
        <v>1210</v>
      </c>
      <c r="S582">
        <v>600</v>
      </c>
    </row>
    <row r="583" spans="1:19" x14ac:dyDescent="0.4">
      <c r="A583" t="s">
        <v>67</v>
      </c>
      <c r="B583">
        <v>202203</v>
      </c>
      <c r="C583">
        <v>16600</v>
      </c>
      <c r="D583" t="s">
        <v>64</v>
      </c>
      <c r="E583" t="s">
        <v>63</v>
      </c>
      <c r="F583" t="s">
        <v>63</v>
      </c>
      <c r="G583" t="s">
        <v>63</v>
      </c>
      <c r="H583" t="s">
        <v>63</v>
      </c>
      <c r="I583">
        <v>1120</v>
      </c>
      <c r="J583" t="s">
        <v>68</v>
      </c>
      <c r="K583" t="s">
        <v>68</v>
      </c>
      <c r="L583">
        <v>0</v>
      </c>
      <c r="M583">
        <v>0</v>
      </c>
      <c r="N583">
        <v>0</v>
      </c>
      <c r="O583">
        <v>28</v>
      </c>
      <c r="P583">
        <v>970</v>
      </c>
      <c r="Q583">
        <v>1240</v>
      </c>
      <c r="R583">
        <v>1000</v>
      </c>
      <c r="S583">
        <v>650</v>
      </c>
    </row>
    <row r="584" spans="1:19" x14ac:dyDescent="0.4">
      <c r="A584" t="s">
        <v>67</v>
      </c>
      <c r="B584">
        <v>202203</v>
      </c>
      <c r="C584">
        <v>16800</v>
      </c>
      <c r="D584" t="s">
        <v>62</v>
      </c>
      <c r="E584">
        <v>580</v>
      </c>
      <c r="F584">
        <v>580</v>
      </c>
      <c r="G584">
        <v>580</v>
      </c>
      <c r="H584">
        <v>580</v>
      </c>
      <c r="I584">
        <v>580</v>
      </c>
      <c r="J584" t="s">
        <v>427</v>
      </c>
      <c r="K584" t="s">
        <v>286</v>
      </c>
      <c r="L584">
        <v>0</v>
      </c>
      <c r="M584">
        <v>1</v>
      </c>
      <c r="N584">
        <v>1</v>
      </c>
      <c r="O584">
        <v>66</v>
      </c>
      <c r="P584">
        <v>555</v>
      </c>
      <c r="Q584">
        <v>590</v>
      </c>
      <c r="R584">
        <v>1210</v>
      </c>
      <c r="S584">
        <v>515</v>
      </c>
    </row>
    <row r="585" spans="1:19" x14ac:dyDescent="0.4">
      <c r="A585" t="s">
        <v>67</v>
      </c>
      <c r="B585">
        <v>202203</v>
      </c>
      <c r="C585">
        <v>16800</v>
      </c>
      <c r="D585" t="s">
        <v>64</v>
      </c>
      <c r="E585">
        <v>1150</v>
      </c>
      <c r="F585">
        <v>1150</v>
      </c>
      <c r="G585">
        <v>1150</v>
      </c>
      <c r="H585">
        <v>1150</v>
      </c>
      <c r="I585">
        <v>1230</v>
      </c>
      <c r="J585" t="s">
        <v>142</v>
      </c>
      <c r="K585" t="s">
        <v>820</v>
      </c>
      <c r="L585">
        <v>0</v>
      </c>
      <c r="M585">
        <v>1</v>
      </c>
      <c r="N585">
        <v>1</v>
      </c>
      <c r="O585">
        <v>49</v>
      </c>
      <c r="P585">
        <v>1040</v>
      </c>
      <c r="Q585">
        <v>1340</v>
      </c>
      <c r="R585">
        <v>1370</v>
      </c>
      <c r="S585">
        <v>730</v>
      </c>
    </row>
    <row r="586" spans="1:19" x14ac:dyDescent="0.4">
      <c r="A586" t="s">
        <v>67</v>
      </c>
      <c r="B586">
        <v>202203</v>
      </c>
      <c r="C586">
        <v>17000</v>
      </c>
      <c r="D586" t="s">
        <v>62</v>
      </c>
      <c r="E586">
        <v>495</v>
      </c>
      <c r="F586">
        <v>495</v>
      </c>
      <c r="G586">
        <v>495</v>
      </c>
      <c r="H586">
        <v>495</v>
      </c>
      <c r="I586">
        <v>495</v>
      </c>
      <c r="J586" t="s">
        <v>83</v>
      </c>
      <c r="K586" t="s">
        <v>821</v>
      </c>
      <c r="L586">
        <v>0</v>
      </c>
      <c r="M586">
        <v>11</v>
      </c>
      <c r="N586">
        <v>11</v>
      </c>
      <c r="O586">
        <v>102</v>
      </c>
      <c r="P586">
        <v>461</v>
      </c>
      <c r="Q586">
        <v>505</v>
      </c>
      <c r="R586">
        <v>1120</v>
      </c>
      <c r="S586">
        <v>477</v>
      </c>
    </row>
    <row r="587" spans="1:19" x14ac:dyDescent="0.4">
      <c r="A587" t="s">
        <v>67</v>
      </c>
      <c r="B587">
        <v>202203</v>
      </c>
      <c r="C587">
        <v>17000</v>
      </c>
      <c r="D587" t="s">
        <v>64</v>
      </c>
      <c r="E587" t="s">
        <v>63</v>
      </c>
      <c r="F587" t="s">
        <v>63</v>
      </c>
      <c r="G587" t="s">
        <v>63</v>
      </c>
      <c r="H587" t="s">
        <v>63</v>
      </c>
      <c r="I587">
        <v>1340</v>
      </c>
      <c r="J587" t="s">
        <v>68</v>
      </c>
      <c r="K587" t="s">
        <v>68</v>
      </c>
      <c r="L587">
        <v>0</v>
      </c>
      <c r="M587">
        <v>0</v>
      </c>
      <c r="N587">
        <v>0</v>
      </c>
      <c r="O587">
        <v>44</v>
      </c>
      <c r="P587">
        <v>1190</v>
      </c>
      <c r="Q587">
        <v>1450</v>
      </c>
      <c r="R587">
        <v>1500</v>
      </c>
      <c r="S587">
        <v>785</v>
      </c>
    </row>
    <row r="588" spans="1:19" x14ac:dyDescent="0.4">
      <c r="A588" t="s">
        <v>67</v>
      </c>
      <c r="B588">
        <v>202203</v>
      </c>
      <c r="C588">
        <v>17200</v>
      </c>
      <c r="D588" t="s">
        <v>62</v>
      </c>
      <c r="E588">
        <v>430</v>
      </c>
      <c r="F588">
        <v>430</v>
      </c>
      <c r="G588">
        <v>430</v>
      </c>
      <c r="H588">
        <v>430</v>
      </c>
      <c r="I588">
        <v>430</v>
      </c>
      <c r="J588" t="s">
        <v>142</v>
      </c>
      <c r="K588" t="s">
        <v>822</v>
      </c>
      <c r="L588">
        <v>0</v>
      </c>
      <c r="M588">
        <v>1</v>
      </c>
      <c r="N588">
        <v>1</v>
      </c>
      <c r="O588">
        <v>58</v>
      </c>
      <c r="P588">
        <v>388</v>
      </c>
      <c r="Q588">
        <v>431</v>
      </c>
      <c r="R588">
        <v>1120</v>
      </c>
      <c r="S588">
        <v>388</v>
      </c>
    </row>
    <row r="589" spans="1:19" x14ac:dyDescent="0.4">
      <c r="A589" t="s">
        <v>67</v>
      </c>
      <c r="B589">
        <v>202203</v>
      </c>
      <c r="C589">
        <v>17200</v>
      </c>
      <c r="D589" t="s">
        <v>64</v>
      </c>
      <c r="E589" t="s">
        <v>63</v>
      </c>
      <c r="F589" t="s">
        <v>63</v>
      </c>
      <c r="G589" t="s">
        <v>63</v>
      </c>
      <c r="H589" t="s">
        <v>63</v>
      </c>
      <c r="I589">
        <v>1480</v>
      </c>
      <c r="J589" t="s">
        <v>68</v>
      </c>
      <c r="K589" t="s">
        <v>68</v>
      </c>
      <c r="L589">
        <v>0</v>
      </c>
      <c r="M589">
        <v>0</v>
      </c>
      <c r="N589">
        <v>0</v>
      </c>
      <c r="O589">
        <v>4</v>
      </c>
      <c r="P589">
        <v>1280</v>
      </c>
      <c r="Q589">
        <v>1570</v>
      </c>
      <c r="R589">
        <v>1680</v>
      </c>
      <c r="S589">
        <v>900</v>
      </c>
    </row>
    <row r="590" spans="1:19" x14ac:dyDescent="0.4">
      <c r="A590" t="s">
        <v>67</v>
      </c>
      <c r="B590">
        <v>202203</v>
      </c>
      <c r="C590">
        <v>17400</v>
      </c>
      <c r="D590" t="s">
        <v>62</v>
      </c>
      <c r="E590" t="s">
        <v>63</v>
      </c>
      <c r="F590" t="s">
        <v>63</v>
      </c>
      <c r="G590" t="s">
        <v>63</v>
      </c>
      <c r="H590" t="s">
        <v>63</v>
      </c>
      <c r="I590">
        <v>363</v>
      </c>
      <c r="J590" t="s">
        <v>68</v>
      </c>
      <c r="K590" t="s">
        <v>68</v>
      </c>
      <c r="L590">
        <v>0</v>
      </c>
      <c r="M590">
        <v>0</v>
      </c>
      <c r="N590">
        <v>0</v>
      </c>
      <c r="O590">
        <v>46</v>
      </c>
      <c r="P590">
        <v>325</v>
      </c>
      <c r="Q590">
        <v>365</v>
      </c>
      <c r="R590">
        <v>995</v>
      </c>
      <c r="S590">
        <v>314</v>
      </c>
    </row>
    <row r="591" spans="1:19" x14ac:dyDescent="0.4">
      <c r="A591" t="s">
        <v>67</v>
      </c>
      <c r="B591">
        <v>202203</v>
      </c>
      <c r="C591">
        <v>17400</v>
      </c>
      <c r="D591" t="s">
        <v>64</v>
      </c>
      <c r="E591" t="s">
        <v>63</v>
      </c>
      <c r="F591" t="s">
        <v>63</v>
      </c>
      <c r="G591" t="s">
        <v>63</v>
      </c>
      <c r="H591" t="s">
        <v>63</v>
      </c>
      <c r="I591">
        <v>1610</v>
      </c>
      <c r="J591" t="s">
        <v>68</v>
      </c>
      <c r="K591" t="s">
        <v>68</v>
      </c>
      <c r="L591">
        <v>0</v>
      </c>
      <c r="M591">
        <v>0</v>
      </c>
      <c r="N591">
        <v>0</v>
      </c>
      <c r="O591">
        <v>8</v>
      </c>
      <c r="P591">
        <v>1450</v>
      </c>
      <c r="Q591">
        <v>1700</v>
      </c>
      <c r="R591">
        <v>1650</v>
      </c>
      <c r="S591">
        <v>980</v>
      </c>
    </row>
    <row r="592" spans="1:19" x14ac:dyDescent="0.4">
      <c r="A592" t="s">
        <v>67</v>
      </c>
      <c r="B592">
        <v>202203</v>
      </c>
      <c r="C592">
        <v>17600</v>
      </c>
      <c r="D592" t="s">
        <v>62</v>
      </c>
      <c r="E592" t="s">
        <v>63</v>
      </c>
      <c r="F592" t="s">
        <v>63</v>
      </c>
      <c r="G592" t="s">
        <v>63</v>
      </c>
      <c r="H592" t="s">
        <v>63</v>
      </c>
      <c r="I592">
        <v>303</v>
      </c>
      <c r="J592" t="s">
        <v>68</v>
      </c>
      <c r="K592" t="s">
        <v>68</v>
      </c>
      <c r="L592">
        <v>0</v>
      </c>
      <c r="M592">
        <v>0</v>
      </c>
      <c r="N592">
        <v>0</v>
      </c>
      <c r="O592">
        <v>52</v>
      </c>
      <c r="P592">
        <v>270</v>
      </c>
      <c r="Q592">
        <v>309</v>
      </c>
      <c r="R592">
        <v>870</v>
      </c>
      <c r="S592">
        <v>270</v>
      </c>
    </row>
    <row r="593" spans="1:19" x14ac:dyDescent="0.4">
      <c r="A593" t="s">
        <v>67</v>
      </c>
      <c r="B593">
        <v>202203</v>
      </c>
      <c r="C593">
        <v>17600</v>
      </c>
      <c r="D593" t="s">
        <v>64</v>
      </c>
      <c r="E593" t="s">
        <v>63</v>
      </c>
      <c r="F593" t="s">
        <v>63</v>
      </c>
      <c r="G593" t="s">
        <v>63</v>
      </c>
      <c r="H593" t="s">
        <v>63</v>
      </c>
      <c r="I593">
        <v>1750</v>
      </c>
      <c r="J593" t="s">
        <v>68</v>
      </c>
      <c r="K593" t="s">
        <v>68</v>
      </c>
      <c r="L593">
        <v>0</v>
      </c>
      <c r="M593">
        <v>0</v>
      </c>
      <c r="N593">
        <v>0</v>
      </c>
      <c r="O593">
        <v>2</v>
      </c>
      <c r="P593">
        <v>1590</v>
      </c>
      <c r="Q593">
        <v>1840</v>
      </c>
      <c r="R593">
        <v>1800</v>
      </c>
      <c r="S593">
        <v>1030</v>
      </c>
    </row>
    <row r="594" spans="1:19" x14ac:dyDescent="0.4">
      <c r="A594" t="s">
        <v>67</v>
      </c>
      <c r="B594">
        <v>202203</v>
      </c>
      <c r="C594">
        <v>17800</v>
      </c>
      <c r="D594" t="s">
        <v>62</v>
      </c>
      <c r="E594">
        <v>250</v>
      </c>
      <c r="F594">
        <v>250</v>
      </c>
      <c r="G594">
        <v>250</v>
      </c>
      <c r="H594">
        <v>250</v>
      </c>
      <c r="I594">
        <v>250</v>
      </c>
      <c r="J594" t="s">
        <v>823</v>
      </c>
      <c r="K594" t="s">
        <v>824</v>
      </c>
      <c r="L594">
        <v>1</v>
      </c>
      <c r="M594">
        <v>1</v>
      </c>
      <c r="N594">
        <v>2</v>
      </c>
      <c r="O594">
        <v>134</v>
      </c>
      <c r="P594">
        <v>219</v>
      </c>
      <c r="Q594">
        <v>258</v>
      </c>
      <c r="R594">
        <v>765</v>
      </c>
      <c r="S594">
        <v>240</v>
      </c>
    </row>
    <row r="595" spans="1:19" x14ac:dyDescent="0.4">
      <c r="A595" t="s">
        <v>67</v>
      </c>
      <c r="B595">
        <v>202203</v>
      </c>
      <c r="C595">
        <v>17800</v>
      </c>
      <c r="D595" t="s">
        <v>64</v>
      </c>
      <c r="E595" t="s">
        <v>63</v>
      </c>
      <c r="F595" t="s">
        <v>63</v>
      </c>
      <c r="G595" t="s">
        <v>63</v>
      </c>
      <c r="H595" t="s">
        <v>63</v>
      </c>
      <c r="I595">
        <v>1900</v>
      </c>
      <c r="J595" t="s">
        <v>68</v>
      </c>
      <c r="K595" t="s">
        <v>68</v>
      </c>
      <c r="L595">
        <v>0</v>
      </c>
      <c r="M595">
        <v>0</v>
      </c>
      <c r="N595">
        <v>0</v>
      </c>
      <c r="O595">
        <v>20</v>
      </c>
      <c r="P595">
        <v>1730</v>
      </c>
      <c r="Q595">
        <v>2010</v>
      </c>
      <c r="R595">
        <v>1470</v>
      </c>
      <c r="S595">
        <v>1300</v>
      </c>
    </row>
    <row r="596" spans="1:19" x14ac:dyDescent="0.4">
      <c r="A596" t="s">
        <v>67</v>
      </c>
      <c r="B596">
        <v>202203</v>
      </c>
      <c r="C596">
        <v>18000</v>
      </c>
      <c r="D596" t="s">
        <v>62</v>
      </c>
      <c r="E596">
        <v>210</v>
      </c>
      <c r="F596">
        <v>210</v>
      </c>
      <c r="G596">
        <v>210</v>
      </c>
      <c r="H596">
        <v>210</v>
      </c>
      <c r="I596">
        <v>210</v>
      </c>
      <c r="J596" t="s">
        <v>92</v>
      </c>
      <c r="K596" t="s">
        <v>825</v>
      </c>
      <c r="L596">
        <v>0</v>
      </c>
      <c r="M596">
        <v>1</v>
      </c>
      <c r="N596">
        <v>1</v>
      </c>
      <c r="O596">
        <v>119</v>
      </c>
      <c r="P596">
        <v>178</v>
      </c>
      <c r="Q596">
        <v>217</v>
      </c>
      <c r="R596">
        <v>620</v>
      </c>
      <c r="S596">
        <v>193</v>
      </c>
    </row>
    <row r="597" spans="1:19" x14ac:dyDescent="0.4">
      <c r="A597" t="s">
        <v>67</v>
      </c>
      <c r="B597">
        <v>202203</v>
      </c>
      <c r="C597">
        <v>18000</v>
      </c>
      <c r="D597" t="s">
        <v>64</v>
      </c>
      <c r="E597" t="s">
        <v>63</v>
      </c>
      <c r="F597" t="s">
        <v>63</v>
      </c>
      <c r="G597" t="s">
        <v>63</v>
      </c>
      <c r="H597" t="s">
        <v>63</v>
      </c>
      <c r="I597">
        <v>2050</v>
      </c>
      <c r="J597" t="s">
        <v>68</v>
      </c>
      <c r="K597" t="s">
        <v>68</v>
      </c>
      <c r="L597">
        <v>0</v>
      </c>
      <c r="M597">
        <v>0</v>
      </c>
      <c r="N597">
        <v>0</v>
      </c>
      <c r="O597">
        <v>0</v>
      </c>
      <c r="P597">
        <v>1910</v>
      </c>
      <c r="Q597">
        <v>2180</v>
      </c>
      <c r="R597" t="s">
        <v>63</v>
      </c>
      <c r="S597" t="s">
        <v>63</v>
      </c>
    </row>
    <row r="598" spans="1:19" x14ac:dyDescent="0.4">
      <c r="A598" t="s">
        <v>67</v>
      </c>
      <c r="B598">
        <v>202203</v>
      </c>
      <c r="C598">
        <v>18200</v>
      </c>
      <c r="D598" t="s">
        <v>62</v>
      </c>
      <c r="E598" t="s">
        <v>63</v>
      </c>
      <c r="F598" t="s">
        <v>63</v>
      </c>
      <c r="G598" t="s">
        <v>63</v>
      </c>
      <c r="H598" t="s">
        <v>63</v>
      </c>
      <c r="I598">
        <v>176</v>
      </c>
      <c r="J598" t="s">
        <v>68</v>
      </c>
      <c r="K598" t="s">
        <v>68</v>
      </c>
      <c r="L598">
        <v>0</v>
      </c>
      <c r="M598">
        <v>0</v>
      </c>
      <c r="N598">
        <v>0</v>
      </c>
      <c r="O598">
        <v>45</v>
      </c>
      <c r="P598">
        <v>160</v>
      </c>
      <c r="Q598">
        <v>181</v>
      </c>
      <c r="R598">
        <v>550</v>
      </c>
      <c r="S598">
        <v>160</v>
      </c>
    </row>
    <row r="599" spans="1:19" x14ac:dyDescent="0.4">
      <c r="A599" t="s">
        <v>67</v>
      </c>
      <c r="B599">
        <v>202203</v>
      </c>
      <c r="C599">
        <v>18200</v>
      </c>
      <c r="D599" t="s">
        <v>64</v>
      </c>
      <c r="E599" t="s">
        <v>63</v>
      </c>
      <c r="F599" t="s">
        <v>63</v>
      </c>
      <c r="G599" t="s">
        <v>63</v>
      </c>
      <c r="H599" t="s">
        <v>63</v>
      </c>
      <c r="I599">
        <v>2220</v>
      </c>
      <c r="J599" t="s">
        <v>68</v>
      </c>
      <c r="K599" t="s">
        <v>68</v>
      </c>
      <c r="L599">
        <v>0</v>
      </c>
      <c r="M599">
        <v>0</v>
      </c>
      <c r="N599">
        <v>0</v>
      </c>
      <c r="O599">
        <v>0</v>
      </c>
      <c r="P599">
        <v>2030</v>
      </c>
      <c r="Q599">
        <v>2320</v>
      </c>
      <c r="R599" t="s">
        <v>63</v>
      </c>
      <c r="S599" t="s">
        <v>63</v>
      </c>
    </row>
    <row r="600" spans="1:19" x14ac:dyDescent="0.4">
      <c r="A600" t="s">
        <v>67</v>
      </c>
      <c r="B600">
        <v>202203</v>
      </c>
      <c r="C600">
        <v>18400</v>
      </c>
      <c r="D600" t="s">
        <v>62</v>
      </c>
      <c r="E600" t="s">
        <v>63</v>
      </c>
      <c r="F600" t="s">
        <v>63</v>
      </c>
      <c r="G600" t="s">
        <v>63</v>
      </c>
      <c r="H600" t="s">
        <v>63</v>
      </c>
      <c r="I600">
        <v>146</v>
      </c>
      <c r="J600" t="s">
        <v>68</v>
      </c>
      <c r="K600" t="s">
        <v>68</v>
      </c>
      <c r="L600">
        <v>0</v>
      </c>
      <c r="M600">
        <v>0</v>
      </c>
      <c r="N600">
        <v>0</v>
      </c>
      <c r="O600">
        <v>20</v>
      </c>
      <c r="P600">
        <v>53</v>
      </c>
      <c r="Q600">
        <v>274</v>
      </c>
      <c r="R600">
        <v>545</v>
      </c>
      <c r="S600">
        <v>160</v>
      </c>
    </row>
    <row r="601" spans="1:19" x14ac:dyDescent="0.4">
      <c r="A601" t="s">
        <v>67</v>
      </c>
      <c r="B601">
        <v>202203</v>
      </c>
      <c r="C601">
        <v>18400</v>
      </c>
      <c r="D601" t="s">
        <v>64</v>
      </c>
      <c r="E601" t="s">
        <v>63</v>
      </c>
      <c r="F601" t="s">
        <v>63</v>
      </c>
      <c r="G601" t="s">
        <v>63</v>
      </c>
      <c r="H601" t="s">
        <v>63</v>
      </c>
      <c r="I601">
        <v>2390</v>
      </c>
      <c r="J601" t="s">
        <v>68</v>
      </c>
      <c r="K601" t="s">
        <v>68</v>
      </c>
      <c r="L601">
        <v>0</v>
      </c>
      <c r="M601">
        <v>0</v>
      </c>
      <c r="N601">
        <v>0</v>
      </c>
      <c r="O601">
        <v>0</v>
      </c>
      <c r="P601">
        <v>2200</v>
      </c>
      <c r="Q601">
        <v>2510</v>
      </c>
      <c r="R601" t="s">
        <v>63</v>
      </c>
      <c r="S601" t="s">
        <v>63</v>
      </c>
    </row>
    <row r="602" spans="1:19" x14ac:dyDescent="0.4">
      <c r="A602" t="s">
        <v>67</v>
      </c>
      <c r="B602">
        <v>202203</v>
      </c>
      <c r="C602">
        <v>18600</v>
      </c>
      <c r="D602" t="s">
        <v>62</v>
      </c>
      <c r="E602" t="s">
        <v>63</v>
      </c>
      <c r="F602" t="s">
        <v>63</v>
      </c>
      <c r="G602" t="s">
        <v>63</v>
      </c>
      <c r="H602" t="s">
        <v>63</v>
      </c>
      <c r="I602">
        <v>120</v>
      </c>
      <c r="J602" t="s">
        <v>68</v>
      </c>
      <c r="K602" t="s">
        <v>68</v>
      </c>
      <c r="L602">
        <v>0</v>
      </c>
      <c r="M602">
        <v>0</v>
      </c>
      <c r="N602">
        <v>0</v>
      </c>
      <c r="O602">
        <v>133</v>
      </c>
      <c r="P602">
        <v>95</v>
      </c>
      <c r="Q602">
        <v>251</v>
      </c>
      <c r="R602">
        <v>464</v>
      </c>
      <c r="S602">
        <v>99</v>
      </c>
    </row>
    <row r="603" spans="1:19" x14ac:dyDescent="0.4">
      <c r="A603" t="s">
        <v>67</v>
      </c>
      <c r="B603">
        <v>202203</v>
      </c>
      <c r="C603">
        <v>18600</v>
      </c>
      <c r="D603" t="s">
        <v>64</v>
      </c>
      <c r="E603" t="s">
        <v>63</v>
      </c>
      <c r="F603" t="s">
        <v>63</v>
      </c>
      <c r="G603" t="s">
        <v>63</v>
      </c>
      <c r="H603" t="s">
        <v>63</v>
      </c>
      <c r="I603">
        <v>2560</v>
      </c>
      <c r="J603" t="s">
        <v>68</v>
      </c>
      <c r="K603" t="s">
        <v>68</v>
      </c>
      <c r="L603">
        <v>0</v>
      </c>
      <c r="M603">
        <v>0</v>
      </c>
      <c r="N603">
        <v>0</v>
      </c>
      <c r="O603">
        <v>0</v>
      </c>
      <c r="P603">
        <v>2370</v>
      </c>
      <c r="Q603">
        <v>2660</v>
      </c>
      <c r="R603" t="s">
        <v>63</v>
      </c>
      <c r="S603" t="s">
        <v>63</v>
      </c>
    </row>
    <row r="604" spans="1:19" x14ac:dyDescent="0.4">
      <c r="A604" t="s">
        <v>67</v>
      </c>
      <c r="B604">
        <v>202203</v>
      </c>
      <c r="C604">
        <v>18800</v>
      </c>
      <c r="D604" t="s">
        <v>62</v>
      </c>
      <c r="E604" t="s">
        <v>63</v>
      </c>
      <c r="F604" t="s">
        <v>63</v>
      </c>
      <c r="G604" t="s">
        <v>63</v>
      </c>
      <c r="H604" t="s">
        <v>63</v>
      </c>
      <c r="I604">
        <v>98</v>
      </c>
      <c r="J604" t="s">
        <v>68</v>
      </c>
      <c r="K604" t="s">
        <v>68</v>
      </c>
      <c r="L604">
        <v>0</v>
      </c>
      <c r="M604">
        <v>0</v>
      </c>
      <c r="N604">
        <v>0</v>
      </c>
      <c r="O604">
        <v>41</v>
      </c>
      <c r="P604">
        <v>34</v>
      </c>
      <c r="Q604">
        <v>233</v>
      </c>
      <c r="R604">
        <v>310</v>
      </c>
      <c r="S604">
        <v>84</v>
      </c>
    </row>
    <row r="605" spans="1:19" x14ac:dyDescent="0.4">
      <c r="A605" t="s">
        <v>67</v>
      </c>
      <c r="B605">
        <v>202203</v>
      </c>
      <c r="C605">
        <v>18800</v>
      </c>
      <c r="D605" t="s">
        <v>64</v>
      </c>
      <c r="E605" t="s">
        <v>63</v>
      </c>
      <c r="F605" t="s">
        <v>63</v>
      </c>
      <c r="G605" t="s">
        <v>63</v>
      </c>
      <c r="H605" t="s">
        <v>63</v>
      </c>
      <c r="I605">
        <v>2740</v>
      </c>
      <c r="J605" t="s">
        <v>68</v>
      </c>
      <c r="K605" t="s">
        <v>68</v>
      </c>
      <c r="L605">
        <v>0</v>
      </c>
      <c r="M605">
        <v>0</v>
      </c>
      <c r="N605">
        <v>0</v>
      </c>
      <c r="O605">
        <v>0</v>
      </c>
      <c r="P605">
        <v>2550</v>
      </c>
      <c r="Q605">
        <v>2860</v>
      </c>
      <c r="R605" t="s">
        <v>63</v>
      </c>
      <c r="S605" t="s">
        <v>63</v>
      </c>
    </row>
    <row r="606" spans="1:19" x14ac:dyDescent="0.4">
      <c r="A606" t="s">
        <v>67</v>
      </c>
      <c r="B606">
        <v>202203</v>
      </c>
      <c r="C606">
        <v>19000</v>
      </c>
      <c r="D606" t="s">
        <v>62</v>
      </c>
      <c r="E606">
        <v>85</v>
      </c>
      <c r="F606">
        <v>85</v>
      </c>
      <c r="G606">
        <v>79</v>
      </c>
      <c r="H606">
        <v>80</v>
      </c>
      <c r="I606">
        <v>80</v>
      </c>
      <c r="J606" t="s">
        <v>101</v>
      </c>
      <c r="K606" t="s">
        <v>71</v>
      </c>
      <c r="L606">
        <v>0</v>
      </c>
      <c r="M606">
        <v>4</v>
      </c>
      <c r="N606">
        <v>4</v>
      </c>
      <c r="O606">
        <v>88</v>
      </c>
      <c r="P606">
        <v>30</v>
      </c>
      <c r="Q606">
        <v>218</v>
      </c>
      <c r="R606">
        <v>355</v>
      </c>
      <c r="S606">
        <v>71</v>
      </c>
    </row>
    <row r="607" spans="1:19" x14ac:dyDescent="0.4">
      <c r="A607" t="s">
        <v>67</v>
      </c>
      <c r="B607">
        <v>202203</v>
      </c>
      <c r="C607">
        <v>19000</v>
      </c>
      <c r="D607" t="s">
        <v>64</v>
      </c>
      <c r="E607" t="s">
        <v>63</v>
      </c>
      <c r="F607" t="s">
        <v>63</v>
      </c>
      <c r="G607" t="s">
        <v>63</v>
      </c>
      <c r="H607" t="s">
        <v>63</v>
      </c>
      <c r="I607">
        <v>2920</v>
      </c>
      <c r="J607" t="s">
        <v>68</v>
      </c>
      <c r="K607" t="s">
        <v>68</v>
      </c>
      <c r="L607">
        <v>0</v>
      </c>
      <c r="M607">
        <v>0</v>
      </c>
      <c r="N607">
        <v>0</v>
      </c>
      <c r="O607">
        <v>0</v>
      </c>
      <c r="P607">
        <v>2730</v>
      </c>
      <c r="Q607">
        <v>3040</v>
      </c>
      <c r="R607" t="s">
        <v>63</v>
      </c>
      <c r="S607" t="s">
        <v>63</v>
      </c>
    </row>
    <row r="608" spans="1:19" x14ac:dyDescent="0.4">
      <c r="A608" t="s">
        <v>67</v>
      </c>
      <c r="B608">
        <v>202203</v>
      </c>
      <c r="C608">
        <v>19200</v>
      </c>
      <c r="D608" t="s">
        <v>62</v>
      </c>
      <c r="E608">
        <v>66</v>
      </c>
      <c r="F608">
        <v>67</v>
      </c>
      <c r="G608">
        <v>66</v>
      </c>
      <c r="H608">
        <v>67</v>
      </c>
      <c r="I608">
        <v>67</v>
      </c>
      <c r="J608" t="s">
        <v>87</v>
      </c>
      <c r="K608" t="s">
        <v>826</v>
      </c>
      <c r="L608">
        <v>0</v>
      </c>
      <c r="M608">
        <v>4</v>
      </c>
      <c r="N608">
        <v>4</v>
      </c>
      <c r="O608">
        <v>38</v>
      </c>
      <c r="P608">
        <v>27</v>
      </c>
      <c r="Q608">
        <v>206</v>
      </c>
      <c r="R608">
        <v>260</v>
      </c>
      <c r="S608">
        <v>66</v>
      </c>
    </row>
    <row r="609" spans="1:19" x14ac:dyDescent="0.4">
      <c r="A609" t="s">
        <v>67</v>
      </c>
      <c r="B609">
        <v>202203</v>
      </c>
      <c r="C609">
        <v>19200</v>
      </c>
      <c r="D609" t="s">
        <v>64</v>
      </c>
      <c r="E609" t="s">
        <v>63</v>
      </c>
      <c r="F609" t="s">
        <v>63</v>
      </c>
      <c r="G609" t="s">
        <v>63</v>
      </c>
      <c r="H609" t="s">
        <v>63</v>
      </c>
      <c r="I609">
        <v>3110</v>
      </c>
      <c r="J609" t="s">
        <v>68</v>
      </c>
      <c r="K609" t="s">
        <v>68</v>
      </c>
      <c r="L609">
        <v>0</v>
      </c>
      <c r="M609">
        <v>0</v>
      </c>
      <c r="N609">
        <v>0</v>
      </c>
      <c r="O609">
        <v>0</v>
      </c>
      <c r="P609">
        <v>2900</v>
      </c>
      <c r="Q609">
        <v>3210</v>
      </c>
      <c r="R609" t="s">
        <v>63</v>
      </c>
      <c r="S609" t="s">
        <v>63</v>
      </c>
    </row>
    <row r="610" spans="1:19" x14ac:dyDescent="0.4">
      <c r="A610" t="s">
        <v>67</v>
      </c>
      <c r="B610">
        <v>202203</v>
      </c>
      <c r="C610">
        <v>19400</v>
      </c>
      <c r="D610" t="s">
        <v>62</v>
      </c>
      <c r="E610" t="s">
        <v>63</v>
      </c>
      <c r="F610" t="s">
        <v>63</v>
      </c>
      <c r="G610" t="s">
        <v>63</v>
      </c>
      <c r="H610" t="s">
        <v>63</v>
      </c>
      <c r="I610">
        <v>56</v>
      </c>
      <c r="J610" t="s">
        <v>68</v>
      </c>
      <c r="K610" t="s">
        <v>68</v>
      </c>
      <c r="L610">
        <v>0</v>
      </c>
      <c r="M610">
        <v>0</v>
      </c>
      <c r="N610">
        <v>0</v>
      </c>
      <c r="O610">
        <v>21</v>
      </c>
      <c r="P610">
        <v>24</v>
      </c>
      <c r="Q610">
        <v>196</v>
      </c>
      <c r="R610">
        <v>255</v>
      </c>
      <c r="S610">
        <v>69</v>
      </c>
    </row>
    <row r="611" spans="1:19" x14ac:dyDescent="0.4">
      <c r="A611" t="s">
        <v>67</v>
      </c>
      <c r="B611">
        <v>202203</v>
      </c>
      <c r="C611">
        <v>19400</v>
      </c>
      <c r="D611" t="s">
        <v>64</v>
      </c>
      <c r="E611" t="s">
        <v>63</v>
      </c>
      <c r="F611" t="s">
        <v>63</v>
      </c>
      <c r="G611" t="s">
        <v>63</v>
      </c>
      <c r="H611" t="s">
        <v>63</v>
      </c>
      <c r="I611">
        <v>3300</v>
      </c>
      <c r="J611" t="s">
        <v>68</v>
      </c>
      <c r="K611" t="s">
        <v>68</v>
      </c>
      <c r="L611">
        <v>0</v>
      </c>
      <c r="M611">
        <v>0</v>
      </c>
      <c r="N611">
        <v>0</v>
      </c>
      <c r="O611">
        <v>0</v>
      </c>
      <c r="P611">
        <v>3080</v>
      </c>
      <c r="Q611">
        <v>3400</v>
      </c>
      <c r="R611" t="s">
        <v>63</v>
      </c>
      <c r="S611" t="s">
        <v>63</v>
      </c>
    </row>
    <row r="612" spans="1:19" x14ac:dyDescent="0.4">
      <c r="A612" t="s">
        <v>67</v>
      </c>
      <c r="B612">
        <v>202203</v>
      </c>
      <c r="C612">
        <v>19600</v>
      </c>
      <c r="D612" t="s">
        <v>62</v>
      </c>
      <c r="E612" t="s">
        <v>63</v>
      </c>
      <c r="F612" t="s">
        <v>63</v>
      </c>
      <c r="G612" t="s">
        <v>63</v>
      </c>
      <c r="H612" t="s">
        <v>63</v>
      </c>
      <c r="I612">
        <v>46.5</v>
      </c>
      <c r="J612" t="s">
        <v>68</v>
      </c>
      <c r="K612" t="s">
        <v>68</v>
      </c>
      <c r="L612">
        <v>0</v>
      </c>
      <c r="M612">
        <v>0</v>
      </c>
      <c r="N612">
        <v>0</v>
      </c>
      <c r="O612">
        <v>67</v>
      </c>
      <c r="P612">
        <v>33.5</v>
      </c>
      <c r="Q612">
        <v>63</v>
      </c>
      <c r="R612">
        <v>199</v>
      </c>
      <c r="S612">
        <v>55</v>
      </c>
    </row>
    <row r="613" spans="1:19" x14ac:dyDescent="0.4">
      <c r="A613" t="s">
        <v>67</v>
      </c>
      <c r="B613">
        <v>202203</v>
      </c>
      <c r="C613">
        <v>19600</v>
      </c>
      <c r="D613" t="s">
        <v>64</v>
      </c>
      <c r="E613" t="s">
        <v>63</v>
      </c>
      <c r="F613" t="s">
        <v>63</v>
      </c>
      <c r="G613" t="s">
        <v>63</v>
      </c>
      <c r="H613" t="s">
        <v>63</v>
      </c>
      <c r="I613">
        <v>3490</v>
      </c>
      <c r="J613" t="s">
        <v>68</v>
      </c>
      <c r="K613" t="s">
        <v>68</v>
      </c>
      <c r="L613">
        <v>0</v>
      </c>
      <c r="M613">
        <v>0</v>
      </c>
      <c r="N613">
        <v>0</v>
      </c>
      <c r="O613">
        <v>0</v>
      </c>
      <c r="P613">
        <v>3270</v>
      </c>
      <c r="Q613">
        <v>3600</v>
      </c>
      <c r="R613" t="s">
        <v>63</v>
      </c>
      <c r="S613" t="s">
        <v>63</v>
      </c>
    </row>
    <row r="614" spans="1:19" x14ac:dyDescent="0.4">
      <c r="A614" t="s">
        <v>67</v>
      </c>
      <c r="B614">
        <v>202203</v>
      </c>
      <c r="C614">
        <v>19800</v>
      </c>
      <c r="D614" t="s">
        <v>62</v>
      </c>
      <c r="E614">
        <v>36</v>
      </c>
      <c r="F614">
        <v>38.5</v>
      </c>
      <c r="G614">
        <v>36</v>
      </c>
      <c r="H614">
        <v>38.5</v>
      </c>
      <c r="I614">
        <v>38.5</v>
      </c>
      <c r="J614" t="s">
        <v>827</v>
      </c>
      <c r="K614" t="s">
        <v>828</v>
      </c>
      <c r="L614">
        <v>0</v>
      </c>
      <c r="M614">
        <v>4</v>
      </c>
      <c r="N614">
        <v>4</v>
      </c>
      <c r="O614">
        <v>45</v>
      </c>
      <c r="P614">
        <v>27.5</v>
      </c>
      <c r="Q614">
        <v>55</v>
      </c>
      <c r="R614">
        <v>333</v>
      </c>
      <c r="S614">
        <v>35.5</v>
      </c>
    </row>
    <row r="615" spans="1:19" x14ac:dyDescent="0.4">
      <c r="A615" t="s">
        <v>67</v>
      </c>
      <c r="B615">
        <v>202203</v>
      </c>
      <c r="C615">
        <v>19800</v>
      </c>
      <c r="D615" t="s">
        <v>64</v>
      </c>
      <c r="E615" t="s">
        <v>63</v>
      </c>
      <c r="F615" t="s">
        <v>63</v>
      </c>
      <c r="G615" t="s">
        <v>63</v>
      </c>
      <c r="H615" t="s">
        <v>63</v>
      </c>
      <c r="I615">
        <v>3680</v>
      </c>
      <c r="J615" t="s">
        <v>68</v>
      </c>
      <c r="K615" t="s">
        <v>68</v>
      </c>
      <c r="L615">
        <v>0</v>
      </c>
      <c r="M615">
        <v>0</v>
      </c>
      <c r="N615">
        <v>0</v>
      </c>
      <c r="O615">
        <v>0</v>
      </c>
      <c r="P615">
        <v>3500</v>
      </c>
      <c r="Q615">
        <v>3790</v>
      </c>
      <c r="R615" t="s">
        <v>63</v>
      </c>
      <c r="S615" t="s">
        <v>63</v>
      </c>
    </row>
    <row r="616" spans="1:19" x14ac:dyDescent="0.4">
      <c r="A616" t="s">
        <v>67</v>
      </c>
      <c r="B616">
        <v>202203</v>
      </c>
      <c r="C616">
        <v>20000</v>
      </c>
      <c r="D616" t="s">
        <v>62</v>
      </c>
      <c r="E616" t="s">
        <v>63</v>
      </c>
      <c r="F616" t="s">
        <v>63</v>
      </c>
      <c r="G616" t="s">
        <v>63</v>
      </c>
      <c r="H616" t="s">
        <v>63</v>
      </c>
      <c r="I616">
        <v>34.5</v>
      </c>
      <c r="J616" t="s">
        <v>68</v>
      </c>
      <c r="K616" t="s">
        <v>68</v>
      </c>
      <c r="L616">
        <v>0</v>
      </c>
      <c r="M616">
        <v>0</v>
      </c>
      <c r="N616">
        <v>0</v>
      </c>
      <c r="O616">
        <v>52</v>
      </c>
      <c r="P616">
        <v>22.5</v>
      </c>
      <c r="Q616">
        <v>51</v>
      </c>
      <c r="R616">
        <v>199</v>
      </c>
      <c r="S616">
        <v>40.5</v>
      </c>
    </row>
    <row r="617" spans="1:19" x14ac:dyDescent="0.4">
      <c r="A617" t="s">
        <v>67</v>
      </c>
      <c r="B617">
        <v>202203</v>
      </c>
      <c r="C617">
        <v>20000</v>
      </c>
      <c r="D617" t="s">
        <v>64</v>
      </c>
      <c r="E617" t="s">
        <v>63</v>
      </c>
      <c r="F617" t="s">
        <v>63</v>
      </c>
      <c r="G617" t="s">
        <v>63</v>
      </c>
      <c r="H617" t="s">
        <v>63</v>
      </c>
      <c r="I617">
        <v>3870</v>
      </c>
      <c r="J617" t="s">
        <v>68</v>
      </c>
      <c r="K617" t="s">
        <v>68</v>
      </c>
      <c r="L617">
        <v>0</v>
      </c>
      <c r="M617">
        <v>0</v>
      </c>
      <c r="N617">
        <v>0</v>
      </c>
      <c r="O617">
        <v>0</v>
      </c>
      <c r="P617">
        <v>3690</v>
      </c>
      <c r="Q617">
        <v>3990</v>
      </c>
      <c r="R617" t="s">
        <v>63</v>
      </c>
      <c r="S617" t="s">
        <v>63</v>
      </c>
    </row>
    <row r="618" spans="1:19" x14ac:dyDescent="0.4">
      <c r="A618" t="s">
        <v>67</v>
      </c>
      <c r="B618">
        <v>202203</v>
      </c>
      <c r="C618">
        <v>20200</v>
      </c>
      <c r="D618" t="s">
        <v>62</v>
      </c>
      <c r="E618" t="s">
        <v>63</v>
      </c>
      <c r="F618" t="s">
        <v>63</v>
      </c>
      <c r="G618" t="s">
        <v>63</v>
      </c>
      <c r="H618" t="s">
        <v>63</v>
      </c>
      <c r="I618">
        <v>31</v>
      </c>
      <c r="J618" t="s">
        <v>68</v>
      </c>
      <c r="K618" t="s">
        <v>68</v>
      </c>
      <c r="L618">
        <v>0</v>
      </c>
      <c r="M618">
        <v>0</v>
      </c>
      <c r="N618">
        <v>0</v>
      </c>
      <c r="O618">
        <v>6</v>
      </c>
      <c r="P618">
        <v>15</v>
      </c>
      <c r="Q618">
        <v>172</v>
      </c>
      <c r="R618">
        <v>118</v>
      </c>
      <c r="S618">
        <v>49</v>
      </c>
    </row>
    <row r="619" spans="1:19" x14ac:dyDescent="0.4">
      <c r="A619" t="s">
        <v>67</v>
      </c>
      <c r="B619">
        <v>202203</v>
      </c>
      <c r="C619">
        <v>20200</v>
      </c>
      <c r="D619" t="s">
        <v>64</v>
      </c>
      <c r="E619" t="s">
        <v>63</v>
      </c>
      <c r="F619" t="s">
        <v>63</v>
      </c>
      <c r="G619" t="s">
        <v>63</v>
      </c>
      <c r="H619" t="s">
        <v>63</v>
      </c>
      <c r="I619">
        <v>4070</v>
      </c>
      <c r="J619" t="s">
        <v>68</v>
      </c>
      <c r="K619" t="s">
        <v>68</v>
      </c>
      <c r="L619">
        <v>0</v>
      </c>
      <c r="M619">
        <v>0</v>
      </c>
      <c r="N619">
        <v>0</v>
      </c>
      <c r="O619">
        <v>0</v>
      </c>
      <c r="P619">
        <v>3890</v>
      </c>
      <c r="Q619">
        <v>4180</v>
      </c>
      <c r="R619" t="s">
        <v>63</v>
      </c>
      <c r="S619" t="s">
        <v>63</v>
      </c>
    </row>
    <row r="620" spans="1:19" x14ac:dyDescent="0.4">
      <c r="A620" t="s">
        <v>67</v>
      </c>
      <c r="B620">
        <v>202203</v>
      </c>
      <c r="C620">
        <v>20400</v>
      </c>
      <c r="D620" t="s">
        <v>62</v>
      </c>
      <c r="E620" t="s">
        <v>63</v>
      </c>
      <c r="F620" t="s">
        <v>63</v>
      </c>
      <c r="G620" t="s">
        <v>63</v>
      </c>
      <c r="H620" t="s">
        <v>63</v>
      </c>
      <c r="I620">
        <v>28.5</v>
      </c>
      <c r="J620" t="s">
        <v>68</v>
      </c>
      <c r="K620" t="s">
        <v>68</v>
      </c>
      <c r="L620">
        <v>0</v>
      </c>
      <c r="M620">
        <v>0</v>
      </c>
      <c r="N620">
        <v>0</v>
      </c>
      <c r="O620">
        <v>27</v>
      </c>
      <c r="P620">
        <v>15.5</v>
      </c>
      <c r="Q620">
        <v>42</v>
      </c>
      <c r="R620">
        <v>110</v>
      </c>
      <c r="S620">
        <v>30</v>
      </c>
    </row>
    <row r="621" spans="1:19" x14ac:dyDescent="0.4">
      <c r="A621" t="s">
        <v>67</v>
      </c>
      <c r="B621">
        <v>202203</v>
      </c>
      <c r="C621">
        <v>20400</v>
      </c>
      <c r="D621" t="s">
        <v>64</v>
      </c>
      <c r="E621" t="s">
        <v>63</v>
      </c>
      <c r="F621" t="s">
        <v>63</v>
      </c>
      <c r="G621" t="s">
        <v>63</v>
      </c>
      <c r="H621" t="s">
        <v>63</v>
      </c>
      <c r="I621">
        <v>4270</v>
      </c>
      <c r="J621" t="s">
        <v>68</v>
      </c>
      <c r="K621" t="s">
        <v>68</v>
      </c>
      <c r="L621">
        <v>0</v>
      </c>
      <c r="M621">
        <v>0</v>
      </c>
      <c r="N621">
        <v>0</v>
      </c>
      <c r="O621">
        <v>0</v>
      </c>
      <c r="P621">
        <v>4080</v>
      </c>
      <c r="Q621">
        <v>4380</v>
      </c>
      <c r="R621" t="s">
        <v>63</v>
      </c>
      <c r="S621" t="s">
        <v>63</v>
      </c>
    </row>
    <row r="622" spans="1:19" x14ac:dyDescent="0.4">
      <c r="A622" t="s">
        <v>67</v>
      </c>
      <c r="B622">
        <v>202203</v>
      </c>
      <c r="C622">
        <v>20600</v>
      </c>
      <c r="D622" t="s">
        <v>62</v>
      </c>
      <c r="E622" t="s">
        <v>63</v>
      </c>
      <c r="F622" t="s">
        <v>63</v>
      </c>
      <c r="G622" t="s">
        <v>63</v>
      </c>
      <c r="H622" t="s">
        <v>63</v>
      </c>
      <c r="I622">
        <v>26</v>
      </c>
      <c r="J622" t="s">
        <v>68</v>
      </c>
      <c r="K622" t="s">
        <v>68</v>
      </c>
      <c r="L622">
        <v>0</v>
      </c>
      <c r="M622">
        <v>0</v>
      </c>
      <c r="N622">
        <v>0</v>
      </c>
      <c r="O622">
        <v>25</v>
      </c>
      <c r="P622">
        <v>11</v>
      </c>
      <c r="Q622">
        <v>165</v>
      </c>
      <c r="R622">
        <v>107</v>
      </c>
      <c r="S622">
        <v>42</v>
      </c>
    </row>
    <row r="623" spans="1:19" x14ac:dyDescent="0.4">
      <c r="A623" t="s">
        <v>67</v>
      </c>
      <c r="B623">
        <v>202203</v>
      </c>
      <c r="C623">
        <v>20600</v>
      </c>
      <c r="D623" t="s">
        <v>64</v>
      </c>
      <c r="E623" t="s">
        <v>63</v>
      </c>
      <c r="F623" t="s">
        <v>63</v>
      </c>
      <c r="G623" t="s">
        <v>63</v>
      </c>
      <c r="H623" t="s">
        <v>63</v>
      </c>
      <c r="I623">
        <v>4460</v>
      </c>
      <c r="J623" t="s">
        <v>68</v>
      </c>
      <c r="K623" t="s">
        <v>68</v>
      </c>
      <c r="L623">
        <v>0</v>
      </c>
      <c r="M623">
        <v>0</v>
      </c>
      <c r="N623">
        <v>0</v>
      </c>
      <c r="O623">
        <v>0</v>
      </c>
      <c r="P623">
        <v>4280</v>
      </c>
      <c r="Q623">
        <v>4580</v>
      </c>
      <c r="R623" t="s">
        <v>63</v>
      </c>
      <c r="S623" t="s">
        <v>63</v>
      </c>
    </row>
    <row r="624" spans="1:19" x14ac:dyDescent="0.4">
      <c r="A624" t="s">
        <v>67</v>
      </c>
      <c r="B624">
        <v>202203</v>
      </c>
      <c r="C624">
        <v>20800</v>
      </c>
      <c r="D624" t="s">
        <v>62</v>
      </c>
      <c r="E624" t="s">
        <v>63</v>
      </c>
      <c r="F624" t="s">
        <v>63</v>
      </c>
      <c r="G624" t="s">
        <v>63</v>
      </c>
      <c r="H624" t="s">
        <v>63</v>
      </c>
      <c r="I624">
        <v>23.5</v>
      </c>
      <c r="J624" t="s">
        <v>68</v>
      </c>
      <c r="K624" t="s">
        <v>68</v>
      </c>
      <c r="L624">
        <v>0</v>
      </c>
      <c r="M624">
        <v>0</v>
      </c>
      <c r="N624">
        <v>0</v>
      </c>
      <c r="O624">
        <v>499</v>
      </c>
      <c r="P624">
        <v>9</v>
      </c>
      <c r="Q624">
        <v>163</v>
      </c>
      <c r="R624">
        <v>118</v>
      </c>
      <c r="S624">
        <v>31</v>
      </c>
    </row>
    <row r="625" spans="1:19" x14ac:dyDescent="0.4">
      <c r="A625" t="s">
        <v>67</v>
      </c>
      <c r="B625">
        <v>202203</v>
      </c>
      <c r="C625">
        <v>20800</v>
      </c>
      <c r="D625" t="s">
        <v>64</v>
      </c>
      <c r="E625" t="s">
        <v>63</v>
      </c>
      <c r="F625" t="s">
        <v>63</v>
      </c>
      <c r="G625" t="s">
        <v>63</v>
      </c>
      <c r="H625" t="s">
        <v>63</v>
      </c>
      <c r="I625">
        <v>4660</v>
      </c>
      <c r="J625" t="s">
        <v>68</v>
      </c>
      <c r="K625" t="s">
        <v>68</v>
      </c>
      <c r="L625">
        <v>0</v>
      </c>
      <c r="M625">
        <v>0</v>
      </c>
      <c r="N625">
        <v>0</v>
      </c>
      <c r="O625">
        <v>0</v>
      </c>
      <c r="P625">
        <v>4450</v>
      </c>
      <c r="Q625">
        <v>4770</v>
      </c>
      <c r="R625" t="s">
        <v>63</v>
      </c>
      <c r="S625" t="s">
        <v>63</v>
      </c>
    </row>
    <row r="626" spans="1:19" x14ac:dyDescent="0.4">
      <c r="A626" t="s">
        <v>67</v>
      </c>
      <c r="B626">
        <v>202203</v>
      </c>
      <c r="C626">
        <v>21000</v>
      </c>
      <c r="D626" t="s">
        <v>62</v>
      </c>
      <c r="E626" t="s">
        <v>63</v>
      </c>
      <c r="F626" t="s">
        <v>63</v>
      </c>
      <c r="G626" t="s">
        <v>63</v>
      </c>
      <c r="H626" t="s">
        <v>63</v>
      </c>
      <c r="I626">
        <v>21.5</v>
      </c>
      <c r="J626" t="s">
        <v>68</v>
      </c>
      <c r="K626" t="s">
        <v>68</v>
      </c>
      <c r="L626">
        <v>0</v>
      </c>
      <c r="M626">
        <v>0</v>
      </c>
      <c r="N626">
        <v>0</v>
      </c>
      <c r="O626">
        <v>424</v>
      </c>
      <c r="P626">
        <v>8.6</v>
      </c>
      <c r="Q626">
        <v>33.5</v>
      </c>
      <c r="R626">
        <v>155</v>
      </c>
      <c r="S626">
        <v>2</v>
      </c>
    </row>
    <row r="627" spans="1:19" x14ac:dyDescent="0.4">
      <c r="A627" t="s">
        <v>67</v>
      </c>
      <c r="B627">
        <v>202203</v>
      </c>
      <c r="C627">
        <v>21000</v>
      </c>
      <c r="D627" t="s">
        <v>64</v>
      </c>
      <c r="E627" t="s">
        <v>63</v>
      </c>
      <c r="F627" t="s">
        <v>63</v>
      </c>
      <c r="G627" t="s">
        <v>63</v>
      </c>
      <c r="H627" t="s">
        <v>63</v>
      </c>
      <c r="I627">
        <v>4860</v>
      </c>
      <c r="J627" t="s">
        <v>68</v>
      </c>
      <c r="K627" t="s">
        <v>68</v>
      </c>
      <c r="L627">
        <v>0</v>
      </c>
      <c r="M627">
        <v>0</v>
      </c>
      <c r="N627">
        <v>0</v>
      </c>
      <c r="O627">
        <v>0</v>
      </c>
      <c r="P627">
        <v>4650</v>
      </c>
      <c r="Q627">
        <v>4970</v>
      </c>
      <c r="R627" t="s">
        <v>63</v>
      </c>
      <c r="S627" t="s">
        <v>63</v>
      </c>
    </row>
    <row r="628" spans="1:19" x14ac:dyDescent="0.4">
      <c r="A628" t="s">
        <v>67</v>
      </c>
      <c r="B628">
        <v>202203</v>
      </c>
      <c r="C628">
        <v>21200</v>
      </c>
      <c r="D628" t="s">
        <v>62</v>
      </c>
      <c r="E628" t="s">
        <v>63</v>
      </c>
      <c r="F628" t="s">
        <v>63</v>
      </c>
      <c r="G628" t="s">
        <v>63</v>
      </c>
      <c r="H628" t="s">
        <v>63</v>
      </c>
      <c r="I628">
        <v>20</v>
      </c>
      <c r="J628" t="s">
        <v>68</v>
      </c>
      <c r="K628" t="s">
        <v>68</v>
      </c>
      <c r="L628">
        <v>0</v>
      </c>
      <c r="M628">
        <v>0</v>
      </c>
      <c r="N628">
        <v>0</v>
      </c>
      <c r="O628">
        <v>449</v>
      </c>
      <c r="P628">
        <v>16</v>
      </c>
      <c r="Q628">
        <v>32.5</v>
      </c>
      <c r="R628">
        <v>79</v>
      </c>
      <c r="S628">
        <v>1</v>
      </c>
    </row>
    <row r="629" spans="1:19" x14ac:dyDescent="0.4">
      <c r="A629" t="s">
        <v>67</v>
      </c>
      <c r="B629">
        <v>202203</v>
      </c>
      <c r="C629">
        <v>21200</v>
      </c>
      <c r="D629" t="s">
        <v>64</v>
      </c>
      <c r="E629" t="s">
        <v>63</v>
      </c>
      <c r="F629" t="s">
        <v>63</v>
      </c>
      <c r="G629" t="s">
        <v>63</v>
      </c>
      <c r="H629" t="s">
        <v>63</v>
      </c>
      <c r="I629">
        <v>5060</v>
      </c>
      <c r="J629" t="s">
        <v>68</v>
      </c>
      <c r="K629" t="s">
        <v>68</v>
      </c>
      <c r="L629">
        <v>0</v>
      </c>
      <c r="M629">
        <v>0</v>
      </c>
      <c r="N629">
        <v>0</v>
      </c>
      <c r="O629">
        <v>0</v>
      </c>
      <c r="P629">
        <v>4850</v>
      </c>
      <c r="Q629">
        <v>5170</v>
      </c>
      <c r="R629" t="s">
        <v>63</v>
      </c>
      <c r="S629" t="s">
        <v>63</v>
      </c>
    </row>
    <row r="630" spans="1:19" x14ac:dyDescent="0.4">
      <c r="A630" t="s">
        <v>67</v>
      </c>
      <c r="B630">
        <v>202203</v>
      </c>
      <c r="C630">
        <v>21400</v>
      </c>
      <c r="D630" t="s">
        <v>62</v>
      </c>
      <c r="E630" t="s">
        <v>63</v>
      </c>
      <c r="F630" t="s">
        <v>63</v>
      </c>
      <c r="G630" t="s">
        <v>63</v>
      </c>
      <c r="H630" t="s">
        <v>63</v>
      </c>
      <c r="I630">
        <v>18.5</v>
      </c>
      <c r="J630" t="s">
        <v>68</v>
      </c>
      <c r="K630" t="s">
        <v>68</v>
      </c>
      <c r="L630">
        <v>0</v>
      </c>
      <c r="M630">
        <v>0</v>
      </c>
      <c r="N630">
        <v>0</v>
      </c>
      <c r="O630">
        <v>407</v>
      </c>
      <c r="P630">
        <v>6.2</v>
      </c>
      <c r="Q630">
        <v>157</v>
      </c>
      <c r="R630">
        <v>86</v>
      </c>
      <c r="S630">
        <v>21.5</v>
      </c>
    </row>
    <row r="631" spans="1:19" x14ac:dyDescent="0.4">
      <c r="A631" t="s">
        <v>67</v>
      </c>
      <c r="B631">
        <v>202203</v>
      </c>
      <c r="C631">
        <v>21400</v>
      </c>
      <c r="D631" t="s">
        <v>64</v>
      </c>
      <c r="E631" t="s">
        <v>63</v>
      </c>
      <c r="F631" t="s">
        <v>63</v>
      </c>
      <c r="G631" t="s">
        <v>63</v>
      </c>
      <c r="H631" t="s">
        <v>63</v>
      </c>
      <c r="I631">
        <v>5250</v>
      </c>
      <c r="J631" t="s">
        <v>68</v>
      </c>
      <c r="K631" t="s">
        <v>68</v>
      </c>
      <c r="L631">
        <v>0</v>
      </c>
      <c r="M631">
        <v>0</v>
      </c>
      <c r="N631">
        <v>0</v>
      </c>
      <c r="O631">
        <v>0</v>
      </c>
      <c r="P631">
        <v>5050</v>
      </c>
      <c r="Q631">
        <v>5370</v>
      </c>
      <c r="R631" t="s">
        <v>63</v>
      </c>
      <c r="S631" t="s">
        <v>63</v>
      </c>
    </row>
    <row r="632" spans="1:19" x14ac:dyDescent="0.4">
      <c r="A632" t="s">
        <v>67</v>
      </c>
      <c r="B632">
        <v>202203</v>
      </c>
      <c r="C632">
        <v>21600</v>
      </c>
      <c r="D632" t="s">
        <v>62</v>
      </c>
      <c r="E632">
        <v>17</v>
      </c>
      <c r="F632">
        <v>17</v>
      </c>
      <c r="G632">
        <v>17</v>
      </c>
      <c r="H632">
        <v>17</v>
      </c>
      <c r="I632">
        <v>17</v>
      </c>
      <c r="J632" t="s">
        <v>73</v>
      </c>
      <c r="K632" s="28">
        <v>0</v>
      </c>
      <c r="L632">
        <v>0</v>
      </c>
      <c r="M632">
        <v>1</v>
      </c>
      <c r="N632">
        <v>1</v>
      </c>
      <c r="O632">
        <v>409</v>
      </c>
      <c r="P632">
        <v>15.5</v>
      </c>
      <c r="Q632">
        <v>17.5</v>
      </c>
      <c r="R632">
        <v>71</v>
      </c>
      <c r="S632">
        <v>13</v>
      </c>
    </row>
    <row r="633" spans="1:19" x14ac:dyDescent="0.4">
      <c r="A633" t="s">
        <v>67</v>
      </c>
      <c r="B633">
        <v>202203</v>
      </c>
      <c r="C633">
        <v>21600</v>
      </c>
      <c r="D633" t="s">
        <v>64</v>
      </c>
      <c r="E633" t="s">
        <v>63</v>
      </c>
      <c r="F633" t="s">
        <v>63</v>
      </c>
      <c r="G633" t="s">
        <v>63</v>
      </c>
      <c r="H633" t="s">
        <v>63</v>
      </c>
      <c r="I633">
        <v>5450</v>
      </c>
      <c r="J633" t="s">
        <v>68</v>
      </c>
      <c r="K633" t="s">
        <v>68</v>
      </c>
      <c r="L633">
        <v>0</v>
      </c>
      <c r="M633">
        <v>0</v>
      </c>
      <c r="N633">
        <v>0</v>
      </c>
      <c r="O633">
        <v>0</v>
      </c>
      <c r="P633">
        <v>5240</v>
      </c>
      <c r="Q633">
        <v>5570</v>
      </c>
      <c r="R633" t="s">
        <v>63</v>
      </c>
      <c r="S633" t="s">
        <v>63</v>
      </c>
    </row>
    <row r="634" spans="1:19" x14ac:dyDescent="0.4">
      <c r="A634" t="s">
        <v>67</v>
      </c>
      <c r="B634">
        <v>202203</v>
      </c>
      <c r="C634">
        <v>21800</v>
      </c>
      <c r="D634" t="s">
        <v>62</v>
      </c>
      <c r="E634">
        <v>16</v>
      </c>
      <c r="F634">
        <v>16</v>
      </c>
      <c r="G634">
        <v>16</v>
      </c>
      <c r="H634">
        <v>16</v>
      </c>
      <c r="I634">
        <v>16</v>
      </c>
      <c r="J634" t="s">
        <v>73</v>
      </c>
      <c r="K634" s="28">
        <v>0</v>
      </c>
      <c r="L634">
        <v>0</v>
      </c>
      <c r="M634">
        <v>9</v>
      </c>
      <c r="N634">
        <v>9</v>
      </c>
      <c r="O634">
        <v>483</v>
      </c>
      <c r="P634">
        <v>12</v>
      </c>
      <c r="Q634">
        <v>16</v>
      </c>
      <c r="R634">
        <v>69</v>
      </c>
      <c r="S634">
        <v>10</v>
      </c>
    </row>
    <row r="635" spans="1:19" x14ac:dyDescent="0.4">
      <c r="A635" t="s">
        <v>67</v>
      </c>
      <c r="B635">
        <v>202203</v>
      </c>
      <c r="C635">
        <v>21800</v>
      </c>
      <c r="D635" t="s">
        <v>64</v>
      </c>
      <c r="E635" t="s">
        <v>63</v>
      </c>
      <c r="F635" t="s">
        <v>63</v>
      </c>
      <c r="G635" t="s">
        <v>63</v>
      </c>
      <c r="H635" t="s">
        <v>63</v>
      </c>
      <c r="I635">
        <v>5650</v>
      </c>
      <c r="J635" t="s">
        <v>68</v>
      </c>
      <c r="K635" t="s">
        <v>68</v>
      </c>
      <c r="L635">
        <v>0</v>
      </c>
      <c r="M635">
        <v>0</v>
      </c>
      <c r="N635">
        <v>0</v>
      </c>
      <c r="O635">
        <v>0</v>
      </c>
      <c r="P635">
        <v>5440</v>
      </c>
      <c r="Q635">
        <v>5770</v>
      </c>
      <c r="R635" t="s">
        <v>63</v>
      </c>
      <c r="S635" t="s">
        <v>63</v>
      </c>
    </row>
    <row r="636" spans="1:19" x14ac:dyDescent="0.4">
      <c r="A636" t="s">
        <v>67</v>
      </c>
      <c r="B636">
        <v>202206</v>
      </c>
      <c r="C636">
        <v>13000</v>
      </c>
      <c r="D636" t="s">
        <v>62</v>
      </c>
      <c r="E636" t="s">
        <v>63</v>
      </c>
      <c r="F636" t="s">
        <v>63</v>
      </c>
      <c r="G636" t="s">
        <v>63</v>
      </c>
      <c r="H636" t="s">
        <v>63</v>
      </c>
      <c r="I636">
        <v>3340</v>
      </c>
      <c r="J636" t="s">
        <v>68</v>
      </c>
      <c r="K636" t="s">
        <v>68</v>
      </c>
      <c r="L636">
        <v>0</v>
      </c>
      <c r="M636">
        <v>0</v>
      </c>
      <c r="N636">
        <v>0</v>
      </c>
      <c r="O636">
        <v>0</v>
      </c>
      <c r="P636">
        <v>3260</v>
      </c>
      <c r="Q636">
        <v>3530</v>
      </c>
      <c r="R636" t="s">
        <v>63</v>
      </c>
      <c r="S636" t="s">
        <v>63</v>
      </c>
    </row>
    <row r="637" spans="1:19" x14ac:dyDescent="0.4">
      <c r="A637" t="s">
        <v>67</v>
      </c>
      <c r="B637">
        <v>202206</v>
      </c>
      <c r="C637">
        <v>13000</v>
      </c>
      <c r="D637" t="s">
        <v>64</v>
      </c>
      <c r="E637">
        <v>310</v>
      </c>
      <c r="F637">
        <v>310</v>
      </c>
      <c r="G637">
        <v>310</v>
      </c>
      <c r="H637">
        <v>310</v>
      </c>
      <c r="I637">
        <v>310</v>
      </c>
      <c r="J637" t="s">
        <v>118</v>
      </c>
      <c r="K637" t="s">
        <v>829</v>
      </c>
      <c r="L637">
        <v>0</v>
      </c>
      <c r="M637">
        <v>1</v>
      </c>
      <c r="N637">
        <v>1</v>
      </c>
      <c r="O637">
        <v>33</v>
      </c>
      <c r="P637">
        <v>308</v>
      </c>
      <c r="Q637">
        <v>320</v>
      </c>
      <c r="R637">
        <v>356</v>
      </c>
      <c r="S637">
        <v>275</v>
      </c>
    </row>
    <row r="638" spans="1:19" x14ac:dyDescent="0.4">
      <c r="A638" t="s">
        <v>67</v>
      </c>
      <c r="B638">
        <v>202206</v>
      </c>
      <c r="C638">
        <v>13200</v>
      </c>
      <c r="D638" t="s">
        <v>62</v>
      </c>
      <c r="E638" t="s">
        <v>63</v>
      </c>
      <c r="F638" t="s">
        <v>63</v>
      </c>
      <c r="G638" t="s">
        <v>63</v>
      </c>
      <c r="H638" t="s">
        <v>63</v>
      </c>
      <c r="I638">
        <v>3170</v>
      </c>
      <c r="J638" t="s">
        <v>68</v>
      </c>
      <c r="K638" t="s">
        <v>68</v>
      </c>
      <c r="L638">
        <v>0</v>
      </c>
      <c r="M638">
        <v>0</v>
      </c>
      <c r="N638">
        <v>0</v>
      </c>
      <c r="O638">
        <v>0</v>
      </c>
      <c r="P638">
        <v>3070</v>
      </c>
      <c r="Q638">
        <v>3390</v>
      </c>
      <c r="R638" t="s">
        <v>63</v>
      </c>
      <c r="S638" t="s">
        <v>63</v>
      </c>
    </row>
    <row r="639" spans="1:19" x14ac:dyDescent="0.4">
      <c r="A639" t="s">
        <v>67</v>
      </c>
      <c r="B639">
        <v>202206</v>
      </c>
      <c r="C639">
        <v>13200</v>
      </c>
      <c r="D639" t="s">
        <v>64</v>
      </c>
      <c r="E639" t="s">
        <v>63</v>
      </c>
      <c r="F639" t="s">
        <v>63</v>
      </c>
      <c r="G639" t="s">
        <v>63</v>
      </c>
      <c r="H639" t="s">
        <v>63</v>
      </c>
      <c r="I639">
        <v>340</v>
      </c>
      <c r="J639" t="s">
        <v>68</v>
      </c>
      <c r="K639" t="s">
        <v>68</v>
      </c>
      <c r="L639">
        <v>0</v>
      </c>
      <c r="M639">
        <v>0</v>
      </c>
      <c r="N639">
        <v>0</v>
      </c>
      <c r="O639">
        <v>14</v>
      </c>
      <c r="P639">
        <v>321</v>
      </c>
      <c r="Q639">
        <v>367</v>
      </c>
      <c r="R639">
        <v>364</v>
      </c>
      <c r="S639">
        <v>299</v>
      </c>
    </row>
    <row r="640" spans="1:19" x14ac:dyDescent="0.4">
      <c r="A640" t="s">
        <v>67</v>
      </c>
      <c r="B640">
        <v>202206</v>
      </c>
      <c r="C640">
        <v>13400</v>
      </c>
      <c r="D640" t="s">
        <v>62</v>
      </c>
      <c r="E640" t="s">
        <v>63</v>
      </c>
      <c r="F640" t="s">
        <v>63</v>
      </c>
      <c r="G640" t="s">
        <v>63</v>
      </c>
      <c r="H640" t="s">
        <v>63</v>
      </c>
      <c r="I640">
        <v>3010</v>
      </c>
      <c r="J640" t="s">
        <v>68</v>
      </c>
      <c r="K640" t="s">
        <v>68</v>
      </c>
      <c r="L640">
        <v>0</v>
      </c>
      <c r="M640">
        <v>0</v>
      </c>
      <c r="N640">
        <v>0</v>
      </c>
      <c r="O640">
        <v>2</v>
      </c>
      <c r="P640">
        <v>2900</v>
      </c>
      <c r="Q640">
        <v>3220</v>
      </c>
      <c r="R640">
        <v>3800</v>
      </c>
      <c r="S640">
        <v>3800</v>
      </c>
    </row>
    <row r="641" spans="1:19" x14ac:dyDescent="0.4">
      <c r="A641" t="s">
        <v>67</v>
      </c>
      <c r="B641">
        <v>202206</v>
      </c>
      <c r="C641">
        <v>13400</v>
      </c>
      <c r="D641" t="s">
        <v>64</v>
      </c>
      <c r="E641" t="s">
        <v>63</v>
      </c>
      <c r="F641" t="s">
        <v>63</v>
      </c>
      <c r="G641" t="s">
        <v>63</v>
      </c>
      <c r="H641" t="s">
        <v>63</v>
      </c>
      <c r="I641">
        <v>373</v>
      </c>
      <c r="J641" t="s">
        <v>68</v>
      </c>
      <c r="K641" t="s">
        <v>68</v>
      </c>
      <c r="L641">
        <v>0</v>
      </c>
      <c r="M641">
        <v>0</v>
      </c>
      <c r="N641">
        <v>0</v>
      </c>
      <c r="O641">
        <v>49</v>
      </c>
      <c r="P641">
        <v>351</v>
      </c>
      <c r="Q641">
        <v>398</v>
      </c>
      <c r="R641">
        <v>425</v>
      </c>
      <c r="S641">
        <v>244</v>
      </c>
    </row>
    <row r="642" spans="1:19" x14ac:dyDescent="0.4">
      <c r="A642" t="s">
        <v>67</v>
      </c>
      <c r="B642">
        <v>202206</v>
      </c>
      <c r="C642">
        <v>13600</v>
      </c>
      <c r="D642" t="s">
        <v>62</v>
      </c>
      <c r="E642" t="s">
        <v>63</v>
      </c>
      <c r="F642" t="s">
        <v>63</v>
      </c>
      <c r="G642" t="s">
        <v>63</v>
      </c>
      <c r="H642" t="s">
        <v>63</v>
      </c>
      <c r="I642">
        <v>2840</v>
      </c>
      <c r="J642" t="s">
        <v>68</v>
      </c>
      <c r="K642" t="s">
        <v>68</v>
      </c>
      <c r="L642">
        <v>0</v>
      </c>
      <c r="M642">
        <v>0</v>
      </c>
      <c r="N642">
        <v>0</v>
      </c>
      <c r="O642">
        <v>0</v>
      </c>
      <c r="P642">
        <v>2730</v>
      </c>
      <c r="Q642">
        <v>3050</v>
      </c>
      <c r="R642" t="s">
        <v>63</v>
      </c>
      <c r="S642" t="s">
        <v>63</v>
      </c>
    </row>
    <row r="643" spans="1:19" x14ac:dyDescent="0.4">
      <c r="A643" t="s">
        <v>67</v>
      </c>
      <c r="B643">
        <v>202206</v>
      </c>
      <c r="C643">
        <v>13600</v>
      </c>
      <c r="D643" t="s">
        <v>64</v>
      </c>
      <c r="E643" t="s">
        <v>63</v>
      </c>
      <c r="F643" t="s">
        <v>63</v>
      </c>
      <c r="G643" t="s">
        <v>63</v>
      </c>
      <c r="H643" t="s">
        <v>63</v>
      </c>
      <c r="I643">
        <v>408</v>
      </c>
      <c r="J643" t="s">
        <v>68</v>
      </c>
      <c r="K643" t="s">
        <v>68</v>
      </c>
      <c r="L643">
        <v>0</v>
      </c>
      <c r="M643">
        <v>0</v>
      </c>
      <c r="N643">
        <v>0</v>
      </c>
      <c r="O643">
        <v>3</v>
      </c>
      <c r="P643">
        <v>386</v>
      </c>
      <c r="Q643">
        <v>420</v>
      </c>
      <c r="R643">
        <v>382</v>
      </c>
      <c r="S643">
        <v>282</v>
      </c>
    </row>
    <row r="644" spans="1:19" x14ac:dyDescent="0.4">
      <c r="A644" t="s">
        <v>67</v>
      </c>
      <c r="B644">
        <v>202206</v>
      </c>
      <c r="C644">
        <v>13800</v>
      </c>
      <c r="D644" t="s">
        <v>62</v>
      </c>
      <c r="E644" t="s">
        <v>63</v>
      </c>
      <c r="F644" t="s">
        <v>63</v>
      </c>
      <c r="G644" t="s">
        <v>63</v>
      </c>
      <c r="H644" t="s">
        <v>63</v>
      </c>
      <c r="I644">
        <v>2680</v>
      </c>
      <c r="J644" t="s">
        <v>68</v>
      </c>
      <c r="K644" t="s">
        <v>68</v>
      </c>
      <c r="L644">
        <v>0</v>
      </c>
      <c r="M644">
        <v>0</v>
      </c>
      <c r="N644">
        <v>0</v>
      </c>
      <c r="O644">
        <v>0</v>
      </c>
      <c r="P644">
        <v>2550</v>
      </c>
      <c r="Q644">
        <v>2870</v>
      </c>
      <c r="R644" t="s">
        <v>63</v>
      </c>
      <c r="S644" t="s">
        <v>63</v>
      </c>
    </row>
    <row r="645" spans="1:19" x14ac:dyDescent="0.4">
      <c r="A645" t="s">
        <v>67</v>
      </c>
      <c r="B645">
        <v>202206</v>
      </c>
      <c r="C645">
        <v>13800</v>
      </c>
      <c r="D645" t="s">
        <v>64</v>
      </c>
      <c r="E645" t="s">
        <v>63</v>
      </c>
      <c r="F645" t="s">
        <v>63</v>
      </c>
      <c r="G645" t="s">
        <v>63</v>
      </c>
      <c r="H645" t="s">
        <v>63</v>
      </c>
      <c r="I645">
        <v>446</v>
      </c>
      <c r="J645" t="s">
        <v>68</v>
      </c>
      <c r="K645" t="s">
        <v>68</v>
      </c>
      <c r="L645">
        <v>0</v>
      </c>
      <c r="M645">
        <v>0</v>
      </c>
      <c r="N645">
        <v>0</v>
      </c>
      <c r="O645">
        <v>105</v>
      </c>
      <c r="P645">
        <v>415</v>
      </c>
      <c r="Q645">
        <v>447</v>
      </c>
      <c r="R645">
        <v>428</v>
      </c>
      <c r="S645">
        <v>226</v>
      </c>
    </row>
    <row r="646" spans="1:19" x14ac:dyDescent="0.4">
      <c r="A646" t="s">
        <v>67</v>
      </c>
      <c r="B646">
        <v>202206</v>
      </c>
      <c r="C646">
        <v>14000</v>
      </c>
      <c r="D646" t="s">
        <v>62</v>
      </c>
      <c r="E646" t="s">
        <v>63</v>
      </c>
      <c r="F646" t="s">
        <v>63</v>
      </c>
      <c r="G646" t="s">
        <v>63</v>
      </c>
      <c r="H646" t="s">
        <v>63</v>
      </c>
      <c r="I646">
        <v>2530</v>
      </c>
      <c r="J646" t="s">
        <v>68</v>
      </c>
      <c r="K646" t="s">
        <v>68</v>
      </c>
      <c r="L646">
        <v>0</v>
      </c>
      <c r="M646">
        <v>0</v>
      </c>
      <c r="N646">
        <v>0</v>
      </c>
      <c r="O646">
        <v>1</v>
      </c>
      <c r="P646">
        <v>2400</v>
      </c>
      <c r="Q646">
        <v>2720</v>
      </c>
      <c r="R646">
        <v>2760</v>
      </c>
      <c r="S646">
        <v>2760</v>
      </c>
    </row>
    <row r="647" spans="1:19" x14ac:dyDescent="0.4">
      <c r="A647" t="s">
        <v>67</v>
      </c>
      <c r="B647">
        <v>202206</v>
      </c>
      <c r="C647">
        <v>14000</v>
      </c>
      <c r="D647" t="s">
        <v>64</v>
      </c>
      <c r="E647" t="s">
        <v>63</v>
      </c>
      <c r="F647" t="s">
        <v>63</v>
      </c>
      <c r="G647" t="s">
        <v>63</v>
      </c>
      <c r="H647" t="s">
        <v>63</v>
      </c>
      <c r="I647">
        <v>487</v>
      </c>
      <c r="J647" t="s">
        <v>68</v>
      </c>
      <c r="K647" t="s">
        <v>68</v>
      </c>
      <c r="L647">
        <v>0</v>
      </c>
      <c r="M647">
        <v>0</v>
      </c>
      <c r="N647">
        <v>0</v>
      </c>
      <c r="O647">
        <v>7</v>
      </c>
      <c r="P647">
        <v>456</v>
      </c>
      <c r="Q647">
        <v>505</v>
      </c>
      <c r="R647">
        <v>430</v>
      </c>
      <c r="S647">
        <v>330</v>
      </c>
    </row>
    <row r="648" spans="1:19" x14ac:dyDescent="0.4">
      <c r="A648" t="s">
        <v>67</v>
      </c>
      <c r="B648">
        <v>202206</v>
      </c>
      <c r="C648">
        <v>14200</v>
      </c>
      <c r="D648" t="s">
        <v>62</v>
      </c>
      <c r="E648" t="s">
        <v>63</v>
      </c>
      <c r="F648" t="s">
        <v>63</v>
      </c>
      <c r="G648" t="s">
        <v>63</v>
      </c>
      <c r="H648" t="s">
        <v>63</v>
      </c>
      <c r="I648">
        <v>2370</v>
      </c>
      <c r="J648" t="s">
        <v>68</v>
      </c>
      <c r="K648" t="s">
        <v>68</v>
      </c>
      <c r="L648">
        <v>0</v>
      </c>
      <c r="M648">
        <v>0</v>
      </c>
      <c r="N648">
        <v>0</v>
      </c>
      <c r="O648">
        <v>0</v>
      </c>
      <c r="P648">
        <v>2230</v>
      </c>
      <c r="Q648">
        <v>2550</v>
      </c>
      <c r="R648" t="s">
        <v>63</v>
      </c>
      <c r="S648" t="s">
        <v>63</v>
      </c>
    </row>
    <row r="649" spans="1:19" x14ac:dyDescent="0.4">
      <c r="A649" t="s">
        <v>67</v>
      </c>
      <c r="B649">
        <v>202206</v>
      </c>
      <c r="C649">
        <v>14200</v>
      </c>
      <c r="D649" t="s">
        <v>64</v>
      </c>
      <c r="E649" t="s">
        <v>63</v>
      </c>
      <c r="F649" t="s">
        <v>63</v>
      </c>
      <c r="G649" t="s">
        <v>63</v>
      </c>
      <c r="H649" t="s">
        <v>63</v>
      </c>
      <c r="I649">
        <v>530</v>
      </c>
      <c r="J649" t="s">
        <v>68</v>
      </c>
      <c r="K649" t="s">
        <v>68</v>
      </c>
      <c r="L649">
        <v>0</v>
      </c>
      <c r="M649">
        <v>0</v>
      </c>
      <c r="N649">
        <v>0</v>
      </c>
      <c r="O649">
        <v>0</v>
      </c>
      <c r="P649">
        <v>497</v>
      </c>
      <c r="Q649">
        <v>655</v>
      </c>
      <c r="R649" t="s">
        <v>63</v>
      </c>
      <c r="S649" t="s">
        <v>63</v>
      </c>
    </row>
    <row r="650" spans="1:19" x14ac:dyDescent="0.4">
      <c r="A650" t="s">
        <v>67</v>
      </c>
      <c r="B650">
        <v>202206</v>
      </c>
      <c r="C650">
        <v>14400</v>
      </c>
      <c r="D650" t="s">
        <v>62</v>
      </c>
      <c r="E650" t="s">
        <v>63</v>
      </c>
      <c r="F650" t="s">
        <v>63</v>
      </c>
      <c r="G650" t="s">
        <v>63</v>
      </c>
      <c r="H650" t="s">
        <v>63</v>
      </c>
      <c r="I650">
        <v>2220</v>
      </c>
      <c r="J650" t="s">
        <v>68</v>
      </c>
      <c r="K650" t="s">
        <v>68</v>
      </c>
      <c r="L650">
        <v>0</v>
      </c>
      <c r="M650">
        <v>0</v>
      </c>
      <c r="N650">
        <v>0</v>
      </c>
      <c r="O650">
        <v>0</v>
      </c>
      <c r="P650">
        <v>2070</v>
      </c>
      <c r="Q650">
        <v>2340</v>
      </c>
      <c r="R650" t="s">
        <v>63</v>
      </c>
      <c r="S650" t="s">
        <v>63</v>
      </c>
    </row>
    <row r="651" spans="1:19" x14ac:dyDescent="0.4">
      <c r="A651" t="s">
        <v>67</v>
      </c>
      <c r="B651">
        <v>202206</v>
      </c>
      <c r="C651">
        <v>14400</v>
      </c>
      <c r="D651" t="s">
        <v>64</v>
      </c>
      <c r="E651" t="s">
        <v>63</v>
      </c>
      <c r="F651" t="s">
        <v>63</v>
      </c>
      <c r="G651" t="s">
        <v>63</v>
      </c>
      <c r="H651" t="s">
        <v>63</v>
      </c>
      <c r="I651">
        <v>580</v>
      </c>
      <c r="J651" t="s">
        <v>68</v>
      </c>
      <c r="K651" t="s">
        <v>68</v>
      </c>
      <c r="L651">
        <v>0</v>
      </c>
      <c r="M651">
        <v>0</v>
      </c>
      <c r="N651">
        <v>0</v>
      </c>
      <c r="O651">
        <v>2</v>
      </c>
      <c r="P651">
        <v>424</v>
      </c>
      <c r="Q651">
        <v>695</v>
      </c>
      <c r="R651">
        <v>600</v>
      </c>
      <c r="S651">
        <v>510</v>
      </c>
    </row>
    <row r="652" spans="1:19" x14ac:dyDescent="0.4">
      <c r="A652" t="s">
        <v>67</v>
      </c>
      <c r="B652">
        <v>202206</v>
      </c>
      <c r="C652">
        <v>14600</v>
      </c>
      <c r="D652" t="s">
        <v>62</v>
      </c>
      <c r="E652" t="s">
        <v>63</v>
      </c>
      <c r="F652" t="s">
        <v>63</v>
      </c>
      <c r="G652" t="s">
        <v>63</v>
      </c>
      <c r="H652" t="s">
        <v>63</v>
      </c>
      <c r="I652">
        <v>2070</v>
      </c>
      <c r="J652" t="s">
        <v>68</v>
      </c>
      <c r="K652" t="s">
        <v>68</v>
      </c>
      <c r="L652">
        <v>0</v>
      </c>
      <c r="M652">
        <v>0</v>
      </c>
      <c r="N652">
        <v>0</v>
      </c>
      <c r="O652">
        <v>0</v>
      </c>
      <c r="P652">
        <v>1930</v>
      </c>
      <c r="Q652">
        <v>2240</v>
      </c>
      <c r="R652" t="s">
        <v>63</v>
      </c>
      <c r="S652" t="s">
        <v>63</v>
      </c>
    </row>
    <row r="653" spans="1:19" x14ac:dyDescent="0.4">
      <c r="A653" t="s">
        <v>67</v>
      </c>
      <c r="B653">
        <v>202206</v>
      </c>
      <c r="C653">
        <v>14600</v>
      </c>
      <c r="D653" t="s">
        <v>64</v>
      </c>
      <c r="E653" t="s">
        <v>63</v>
      </c>
      <c r="F653" t="s">
        <v>63</v>
      </c>
      <c r="G653" t="s">
        <v>63</v>
      </c>
      <c r="H653" t="s">
        <v>63</v>
      </c>
      <c r="I653">
        <v>630</v>
      </c>
      <c r="J653" t="s">
        <v>68</v>
      </c>
      <c r="K653" t="s">
        <v>68</v>
      </c>
      <c r="L653">
        <v>0</v>
      </c>
      <c r="M653">
        <v>0</v>
      </c>
      <c r="N653">
        <v>0</v>
      </c>
      <c r="O653">
        <v>1</v>
      </c>
      <c r="P653">
        <v>580</v>
      </c>
      <c r="Q653">
        <v>665</v>
      </c>
      <c r="R653">
        <v>550</v>
      </c>
      <c r="S653">
        <v>550</v>
      </c>
    </row>
    <row r="654" spans="1:19" x14ac:dyDescent="0.4">
      <c r="A654" t="s">
        <v>67</v>
      </c>
      <c r="B654">
        <v>202206</v>
      </c>
      <c r="C654">
        <v>14800</v>
      </c>
      <c r="D654" t="s">
        <v>62</v>
      </c>
      <c r="E654" t="s">
        <v>63</v>
      </c>
      <c r="F654" t="s">
        <v>63</v>
      </c>
      <c r="G654" t="s">
        <v>63</v>
      </c>
      <c r="H654" t="s">
        <v>63</v>
      </c>
      <c r="I654">
        <v>1930</v>
      </c>
      <c r="J654" t="s">
        <v>68</v>
      </c>
      <c r="K654" t="s">
        <v>68</v>
      </c>
      <c r="L654">
        <v>0</v>
      </c>
      <c r="M654">
        <v>0</v>
      </c>
      <c r="N654">
        <v>0</v>
      </c>
      <c r="O654">
        <v>0</v>
      </c>
      <c r="P654">
        <v>1770</v>
      </c>
      <c r="Q654">
        <v>2080</v>
      </c>
      <c r="R654" t="s">
        <v>63</v>
      </c>
      <c r="S654" t="s">
        <v>63</v>
      </c>
    </row>
    <row r="655" spans="1:19" x14ac:dyDescent="0.4">
      <c r="A655" t="s">
        <v>67</v>
      </c>
      <c r="B655">
        <v>202206</v>
      </c>
      <c r="C655">
        <v>14800</v>
      </c>
      <c r="D655" t="s">
        <v>64</v>
      </c>
      <c r="E655" t="s">
        <v>63</v>
      </c>
      <c r="F655" t="s">
        <v>63</v>
      </c>
      <c r="G655" t="s">
        <v>63</v>
      </c>
      <c r="H655" t="s">
        <v>63</v>
      </c>
      <c r="I655">
        <v>685</v>
      </c>
      <c r="J655" t="s">
        <v>68</v>
      </c>
      <c r="K655" t="s">
        <v>68</v>
      </c>
      <c r="L655">
        <v>0</v>
      </c>
      <c r="M655">
        <v>0</v>
      </c>
      <c r="N655">
        <v>0</v>
      </c>
      <c r="O655">
        <v>1</v>
      </c>
      <c r="P655">
        <v>630</v>
      </c>
      <c r="Q655">
        <v>715</v>
      </c>
      <c r="R655">
        <v>695</v>
      </c>
      <c r="S655">
        <v>695</v>
      </c>
    </row>
    <row r="656" spans="1:19" x14ac:dyDescent="0.4">
      <c r="A656" t="s">
        <v>67</v>
      </c>
      <c r="B656">
        <v>202206</v>
      </c>
      <c r="C656">
        <v>15000</v>
      </c>
      <c r="D656" t="s">
        <v>62</v>
      </c>
      <c r="E656" t="s">
        <v>63</v>
      </c>
      <c r="F656" t="s">
        <v>63</v>
      </c>
      <c r="G656" t="s">
        <v>63</v>
      </c>
      <c r="H656" t="s">
        <v>63</v>
      </c>
      <c r="I656">
        <v>1790</v>
      </c>
      <c r="J656" t="s">
        <v>68</v>
      </c>
      <c r="K656" t="s">
        <v>68</v>
      </c>
      <c r="L656">
        <v>0</v>
      </c>
      <c r="M656">
        <v>0</v>
      </c>
      <c r="N656">
        <v>0</v>
      </c>
      <c r="O656">
        <v>0</v>
      </c>
      <c r="P656">
        <v>1630</v>
      </c>
      <c r="Q656">
        <v>1910</v>
      </c>
      <c r="R656" t="s">
        <v>63</v>
      </c>
      <c r="S656" t="s">
        <v>63</v>
      </c>
    </row>
    <row r="657" spans="1:19" x14ac:dyDescent="0.4">
      <c r="A657" t="s">
        <v>67</v>
      </c>
      <c r="B657">
        <v>202206</v>
      </c>
      <c r="C657">
        <v>15000</v>
      </c>
      <c r="D657" t="s">
        <v>64</v>
      </c>
      <c r="E657" t="s">
        <v>63</v>
      </c>
      <c r="F657" t="s">
        <v>63</v>
      </c>
      <c r="G657" t="s">
        <v>63</v>
      </c>
      <c r="H657" t="s">
        <v>63</v>
      </c>
      <c r="I657">
        <v>745</v>
      </c>
      <c r="J657" t="s">
        <v>68</v>
      </c>
      <c r="K657" t="s">
        <v>68</v>
      </c>
      <c r="L657">
        <v>0</v>
      </c>
      <c r="M657">
        <v>0</v>
      </c>
      <c r="N657">
        <v>0</v>
      </c>
      <c r="O657">
        <v>53</v>
      </c>
      <c r="P657">
        <v>675</v>
      </c>
      <c r="Q657">
        <v>750</v>
      </c>
      <c r="R657">
        <v>825</v>
      </c>
      <c r="S657">
        <v>480</v>
      </c>
    </row>
    <row r="658" spans="1:19" x14ac:dyDescent="0.4">
      <c r="A658" t="s">
        <v>67</v>
      </c>
      <c r="B658">
        <v>202206</v>
      </c>
      <c r="C658">
        <v>15200</v>
      </c>
      <c r="D658" t="s">
        <v>62</v>
      </c>
      <c r="E658" t="s">
        <v>63</v>
      </c>
      <c r="F658" t="s">
        <v>63</v>
      </c>
      <c r="G658" t="s">
        <v>63</v>
      </c>
      <c r="H658" t="s">
        <v>63</v>
      </c>
      <c r="I658">
        <v>1650</v>
      </c>
      <c r="J658" t="s">
        <v>68</v>
      </c>
      <c r="K658" t="s">
        <v>68</v>
      </c>
      <c r="L658">
        <v>0</v>
      </c>
      <c r="M658">
        <v>0</v>
      </c>
      <c r="N658">
        <v>0</v>
      </c>
      <c r="O658">
        <v>0</v>
      </c>
      <c r="P658">
        <v>1540</v>
      </c>
      <c r="Q658">
        <v>1770</v>
      </c>
      <c r="R658" t="s">
        <v>63</v>
      </c>
      <c r="S658" t="s">
        <v>63</v>
      </c>
    </row>
    <row r="659" spans="1:19" x14ac:dyDescent="0.4">
      <c r="A659" t="s">
        <v>67</v>
      </c>
      <c r="B659">
        <v>202206</v>
      </c>
      <c r="C659">
        <v>15200</v>
      </c>
      <c r="D659" t="s">
        <v>64</v>
      </c>
      <c r="E659" t="s">
        <v>63</v>
      </c>
      <c r="F659" t="s">
        <v>63</v>
      </c>
      <c r="G659" t="s">
        <v>63</v>
      </c>
      <c r="H659" t="s">
        <v>63</v>
      </c>
      <c r="I659">
        <v>805</v>
      </c>
      <c r="J659" t="s">
        <v>68</v>
      </c>
      <c r="K659" t="s">
        <v>68</v>
      </c>
      <c r="L659">
        <v>0</v>
      </c>
      <c r="M659">
        <v>0</v>
      </c>
      <c r="N659">
        <v>0</v>
      </c>
      <c r="O659">
        <v>18</v>
      </c>
      <c r="P659">
        <v>740</v>
      </c>
      <c r="Q659">
        <v>830</v>
      </c>
      <c r="R659">
        <v>775</v>
      </c>
      <c r="S659">
        <v>535</v>
      </c>
    </row>
    <row r="660" spans="1:19" x14ac:dyDescent="0.4">
      <c r="A660" t="s">
        <v>67</v>
      </c>
      <c r="B660">
        <v>202206</v>
      </c>
      <c r="C660">
        <v>15400</v>
      </c>
      <c r="D660" t="s">
        <v>62</v>
      </c>
      <c r="E660" t="s">
        <v>63</v>
      </c>
      <c r="F660" t="s">
        <v>63</v>
      </c>
      <c r="G660" t="s">
        <v>63</v>
      </c>
      <c r="H660" t="s">
        <v>63</v>
      </c>
      <c r="I660">
        <v>1520</v>
      </c>
      <c r="J660" t="s">
        <v>68</v>
      </c>
      <c r="K660" t="s">
        <v>68</v>
      </c>
      <c r="L660">
        <v>0</v>
      </c>
      <c r="M660">
        <v>0</v>
      </c>
      <c r="N660">
        <v>0</v>
      </c>
      <c r="O660">
        <v>0</v>
      </c>
      <c r="P660">
        <v>1400</v>
      </c>
      <c r="Q660">
        <v>1670</v>
      </c>
      <c r="R660" t="s">
        <v>63</v>
      </c>
      <c r="S660" t="s">
        <v>63</v>
      </c>
    </row>
    <row r="661" spans="1:19" x14ac:dyDescent="0.4">
      <c r="A661" t="s">
        <v>67</v>
      </c>
      <c r="B661">
        <v>202206</v>
      </c>
      <c r="C661">
        <v>15400</v>
      </c>
      <c r="D661" t="s">
        <v>64</v>
      </c>
      <c r="E661" t="s">
        <v>63</v>
      </c>
      <c r="F661" t="s">
        <v>63</v>
      </c>
      <c r="G661" t="s">
        <v>63</v>
      </c>
      <c r="H661" t="s">
        <v>63</v>
      </c>
      <c r="I661">
        <v>870</v>
      </c>
      <c r="J661" t="s">
        <v>68</v>
      </c>
      <c r="K661" t="s">
        <v>68</v>
      </c>
      <c r="L661">
        <v>0</v>
      </c>
      <c r="M661">
        <v>0</v>
      </c>
      <c r="N661">
        <v>0</v>
      </c>
      <c r="O661">
        <v>7</v>
      </c>
      <c r="P661">
        <v>805</v>
      </c>
      <c r="Q661">
        <v>885</v>
      </c>
      <c r="R661">
        <v>590</v>
      </c>
      <c r="S661">
        <v>575</v>
      </c>
    </row>
    <row r="662" spans="1:19" x14ac:dyDescent="0.4">
      <c r="A662" t="s">
        <v>67</v>
      </c>
      <c r="B662">
        <v>202206</v>
      </c>
      <c r="C662">
        <v>15600</v>
      </c>
      <c r="D662" t="s">
        <v>62</v>
      </c>
      <c r="E662" t="s">
        <v>63</v>
      </c>
      <c r="F662" t="s">
        <v>63</v>
      </c>
      <c r="G662" t="s">
        <v>63</v>
      </c>
      <c r="H662" t="s">
        <v>63</v>
      </c>
      <c r="I662">
        <v>1390</v>
      </c>
      <c r="J662" t="s">
        <v>68</v>
      </c>
      <c r="K662" t="s">
        <v>68</v>
      </c>
      <c r="L662">
        <v>0</v>
      </c>
      <c r="M662">
        <v>0</v>
      </c>
      <c r="N662">
        <v>0</v>
      </c>
      <c r="O662">
        <v>0</v>
      </c>
      <c r="P662">
        <v>1270</v>
      </c>
      <c r="Q662">
        <v>1550</v>
      </c>
      <c r="R662" t="s">
        <v>63</v>
      </c>
      <c r="S662" t="s">
        <v>63</v>
      </c>
    </row>
    <row r="663" spans="1:19" x14ac:dyDescent="0.4">
      <c r="A663" t="s">
        <v>67</v>
      </c>
      <c r="B663">
        <v>202206</v>
      </c>
      <c r="C663">
        <v>15600</v>
      </c>
      <c r="D663" t="s">
        <v>64</v>
      </c>
      <c r="E663" t="s">
        <v>63</v>
      </c>
      <c r="F663" t="s">
        <v>63</v>
      </c>
      <c r="G663" t="s">
        <v>63</v>
      </c>
      <c r="H663" t="s">
        <v>63</v>
      </c>
      <c r="I663">
        <v>945</v>
      </c>
      <c r="J663" t="s">
        <v>68</v>
      </c>
      <c r="K663" t="s">
        <v>68</v>
      </c>
      <c r="L663">
        <v>0</v>
      </c>
      <c r="M663">
        <v>0</v>
      </c>
      <c r="N663">
        <v>0</v>
      </c>
      <c r="O663">
        <v>16</v>
      </c>
      <c r="P663">
        <v>870</v>
      </c>
      <c r="Q663">
        <v>970</v>
      </c>
      <c r="R663">
        <v>905</v>
      </c>
      <c r="S663">
        <v>595</v>
      </c>
    </row>
    <row r="664" spans="1:19" x14ac:dyDescent="0.4">
      <c r="A664" t="s">
        <v>67</v>
      </c>
      <c r="B664">
        <v>202206</v>
      </c>
      <c r="C664">
        <v>15800</v>
      </c>
      <c r="D664" t="s">
        <v>62</v>
      </c>
      <c r="E664" t="s">
        <v>63</v>
      </c>
      <c r="F664" t="s">
        <v>63</v>
      </c>
      <c r="G664" t="s">
        <v>63</v>
      </c>
      <c r="H664" t="s">
        <v>63</v>
      </c>
      <c r="I664">
        <v>1270</v>
      </c>
      <c r="J664" t="s">
        <v>68</v>
      </c>
      <c r="K664" t="s">
        <v>68</v>
      </c>
      <c r="L664">
        <v>0</v>
      </c>
      <c r="M664">
        <v>0</v>
      </c>
      <c r="N664">
        <v>0</v>
      </c>
      <c r="O664">
        <v>0</v>
      </c>
      <c r="P664">
        <v>1180</v>
      </c>
      <c r="Q664">
        <v>1300</v>
      </c>
      <c r="R664" t="s">
        <v>63</v>
      </c>
      <c r="S664" t="s">
        <v>63</v>
      </c>
    </row>
    <row r="665" spans="1:19" x14ac:dyDescent="0.4">
      <c r="A665" t="s">
        <v>67</v>
      </c>
      <c r="B665">
        <v>202206</v>
      </c>
      <c r="C665">
        <v>15800</v>
      </c>
      <c r="D665" t="s">
        <v>64</v>
      </c>
      <c r="E665" t="s">
        <v>63</v>
      </c>
      <c r="F665" t="s">
        <v>63</v>
      </c>
      <c r="G665" t="s">
        <v>63</v>
      </c>
      <c r="H665" t="s">
        <v>63</v>
      </c>
      <c r="I665">
        <v>1020</v>
      </c>
      <c r="J665" t="s">
        <v>68</v>
      </c>
      <c r="K665" t="s">
        <v>68</v>
      </c>
      <c r="L665">
        <v>0</v>
      </c>
      <c r="M665">
        <v>0</v>
      </c>
      <c r="N665">
        <v>0</v>
      </c>
      <c r="O665">
        <v>11</v>
      </c>
      <c r="P665">
        <v>965</v>
      </c>
      <c r="Q665">
        <v>1040</v>
      </c>
      <c r="R665">
        <v>685</v>
      </c>
      <c r="S665">
        <v>650</v>
      </c>
    </row>
    <row r="666" spans="1:19" x14ac:dyDescent="0.4">
      <c r="A666" t="s">
        <v>67</v>
      </c>
      <c r="B666">
        <v>202206</v>
      </c>
      <c r="C666">
        <v>16000</v>
      </c>
      <c r="D666" t="s">
        <v>62</v>
      </c>
      <c r="E666" t="s">
        <v>63</v>
      </c>
      <c r="F666" t="s">
        <v>63</v>
      </c>
      <c r="G666" t="s">
        <v>63</v>
      </c>
      <c r="H666" t="s">
        <v>63</v>
      </c>
      <c r="I666">
        <v>1150</v>
      </c>
      <c r="J666" t="s">
        <v>68</v>
      </c>
      <c r="K666" t="s">
        <v>68</v>
      </c>
      <c r="L666">
        <v>0</v>
      </c>
      <c r="M666">
        <v>0</v>
      </c>
      <c r="N666">
        <v>0</v>
      </c>
      <c r="O666">
        <v>0</v>
      </c>
      <c r="P666">
        <v>1080</v>
      </c>
      <c r="Q666">
        <v>1180</v>
      </c>
      <c r="R666" t="s">
        <v>63</v>
      </c>
      <c r="S666" t="s">
        <v>63</v>
      </c>
    </row>
    <row r="667" spans="1:19" x14ac:dyDescent="0.4">
      <c r="A667" t="s">
        <v>67</v>
      </c>
      <c r="B667">
        <v>202206</v>
      </c>
      <c r="C667">
        <v>16000</v>
      </c>
      <c r="D667" t="s">
        <v>64</v>
      </c>
      <c r="E667" t="s">
        <v>63</v>
      </c>
      <c r="F667" t="s">
        <v>63</v>
      </c>
      <c r="G667" t="s">
        <v>63</v>
      </c>
      <c r="H667" t="s">
        <v>63</v>
      </c>
      <c r="I667">
        <v>1100</v>
      </c>
      <c r="J667" t="s">
        <v>68</v>
      </c>
      <c r="K667" t="s">
        <v>68</v>
      </c>
      <c r="L667">
        <v>0</v>
      </c>
      <c r="M667">
        <v>0</v>
      </c>
      <c r="N667">
        <v>0</v>
      </c>
      <c r="O667">
        <v>0</v>
      </c>
      <c r="P667">
        <v>1030</v>
      </c>
      <c r="Q667">
        <v>1130</v>
      </c>
      <c r="R667" t="s">
        <v>63</v>
      </c>
      <c r="S667" t="s">
        <v>63</v>
      </c>
    </row>
    <row r="668" spans="1:19" x14ac:dyDescent="0.4">
      <c r="A668" t="s">
        <v>67</v>
      </c>
      <c r="B668">
        <v>202206</v>
      </c>
      <c r="C668">
        <v>16200</v>
      </c>
      <c r="D668" t="s">
        <v>62</v>
      </c>
      <c r="E668" t="s">
        <v>63</v>
      </c>
      <c r="F668" t="s">
        <v>63</v>
      </c>
      <c r="G668" t="s">
        <v>63</v>
      </c>
      <c r="H668" t="s">
        <v>63</v>
      </c>
      <c r="I668">
        <v>1040</v>
      </c>
      <c r="J668" t="s">
        <v>68</v>
      </c>
      <c r="K668" t="s">
        <v>68</v>
      </c>
      <c r="L668">
        <v>0</v>
      </c>
      <c r="M668">
        <v>0</v>
      </c>
      <c r="N668">
        <v>0</v>
      </c>
      <c r="O668">
        <v>1</v>
      </c>
      <c r="P668">
        <v>955</v>
      </c>
      <c r="Q668">
        <v>1070</v>
      </c>
      <c r="R668">
        <v>1000</v>
      </c>
      <c r="S668">
        <v>1000</v>
      </c>
    </row>
    <row r="669" spans="1:19" x14ac:dyDescent="0.4">
      <c r="A669" t="s">
        <v>67</v>
      </c>
      <c r="B669">
        <v>202206</v>
      </c>
      <c r="C669">
        <v>16200</v>
      </c>
      <c r="D669" t="s">
        <v>64</v>
      </c>
      <c r="E669" t="s">
        <v>63</v>
      </c>
      <c r="F669" t="s">
        <v>63</v>
      </c>
      <c r="G669" t="s">
        <v>63</v>
      </c>
      <c r="H669" t="s">
        <v>63</v>
      </c>
      <c r="I669">
        <v>1190</v>
      </c>
      <c r="J669" t="s">
        <v>68</v>
      </c>
      <c r="K669" t="s">
        <v>68</v>
      </c>
      <c r="L669">
        <v>0</v>
      </c>
      <c r="M669">
        <v>0</v>
      </c>
      <c r="N669">
        <v>0</v>
      </c>
      <c r="O669">
        <v>12</v>
      </c>
      <c r="P669">
        <v>1120</v>
      </c>
      <c r="Q669">
        <v>1230</v>
      </c>
      <c r="R669">
        <v>1080</v>
      </c>
      <c r="S669">
        <v>1080</v>
      </c>
    </row>
    <row r="670" spans="1:19" x14ac:dyDescent="0.4">
      <c r="A670" t="s">
        <v>67</v>
      </c>
      <c r="B670">
        <v>202206</v>
      </c>
      <c r="C670">
        <v>16400</v>
      </c>
      <c r="D670" t="s">
        <v>62</v>
      </c>
      <c r="E670" t="s">
        <v>63</v>
      </c>
      <c r="F670" t="s">
        <v>63</v>
      </c>
      <c r="G670" t="s">
        <v>63</v>
      </c>
      <c r="H670" t="s">
        <v>63</v>
      </c>
      <c r="I670">
        <v>930</v>
      </c>
      <c r="J670" t="s">
        <v>68</v>
      </c>
      <c r="K670" t="s">
        <v>68</v>
      </c>
      <c r="L670">
        <v>0</v>
      </c>
      <c r="M670">
        <v>0</v>
      </c>
      <c r="N670">
        <v>0</v>
      </c>
      <c r="O670">
        <v>12</v>
      </c>
      <c r="P670">
        <v>880</v>
      </c>
      <c r="Q670">
        <v>955</v>
      </c>
      <c r="R670">
        <v>1080</v>
      </c>
      <c r="S670">
        <v>945</v>
      </c>
    </row>
    <row r="671" spans="1:19" x14ac:dyDescent="0.4">
      <c r="A671" t="s">
        <v>67</v>
      </c>
      <c r="B671">
        <v>202206</v>
      </c>
      <c r="C671">
        <v>16400</v>
      </c>
      <c r="D671" t="s">
        <v>64</v>
      </c>
      <c r="E671" t="s">
        <v>63</v>
      </c>
      <c r="F671" t="s">
        <v>63</v>
      </c>
      <c r="G671" t="s">
        <v>63</v>
      </c>
      <c r="H671" t="s">
        <v>63</v>
      </c>
      <c r="I671">
        <v>1280</v>
      </c>
      <c r="J671" t="s">
        <v>68</v>
      </c>
      <c r="K671" t="s">
        <v>68</v>
      </c>
      <c r="L671">
        <v>0</v>
      </c>
      <c r="M671">
        <v>0</v>
      </c>
      <c r="N671">
        <v>0</v>
      </c>
      <c r="O671">
        <v>0</v>
      </c>
      <c r="P671">
        <v>1220</v>
      </c>
      <c r="Q671">
        <v>1320</v>
      </c>
      <c r="R671" t="s">
        <v>63</v>
      </c>
      <c r="S671" t="s">
        <v>63</v>
      </c>
    </row>
    <row r="672" spans="1:19" x14ac:dyDescent="0.4">
      <c r="A672" t="s">
        <v>67</v>
      </c>
      <c r="B672">
        <v>202206</v>
      </c>
      <c r="C672">
        <v>16600</v>
      </c>
      <c r="D672" t="s">
        <v>62</v>
      </c>
      <c r="E672">
        <v>830</v>
      </c>
      <c r="F672">
        <v>830</v>
      </c>
      <c r="G672">
        <v>830</v>
      </c>
      <c r="H672">
        <v>830</v>
      </c>
      <c r="I672">
        <v>830</v>
      </c>
      <c r="J672" t="s">
        <v>427</v>
      </c>
      <c r="K672" t="s">
        <v>830</v>
      </c>
      <c r="L672">
        <v>0</v>
      </c>
      <c r="M672">
        <v>3</v>
      </c>
      <c r="N672">
        <v>3</v>
      </c>
      <c r="O672">
        <v>14</v>
      </c>
      <c r="P672">
        <v>785</v>
      </c>
      <c r="Q672">
        <v>875</v>
      </c>
      <c r="R672">
        <v>895</v>
      </c>
      <c r="S672">
        <v>770</v>
      </c>
    </row>
    <row r="673" spans="1:19" x14ac:dyDescent="0.4">
      <c r="A673" t="s">
        <v>67</v>
      </c>
      <c r="B673">
        <v>202206</v>
      </c>
      <c r="C673">
        <v>16600</v>
      </c>
      <c r="D673" t="s">
        <v>64</v>
      </c>
      <c r="E673" t="s">
        <v>63</v>
      </c>
      <c r="F673" t="s">
        <v>63</v>
      </c>
      <c r="G673" t="s">
        <v>63</v>
      </c>
      <c r="H673" t="s">
        <v>63</v>
      </c>
      <c r="I673">
        <v>1380</v>
      </c>
      <c r="J673" t="s">
        <v>68</v>
      </c>
      <c r="K673" t="s">
        <v>68</v>
      </c>
      <c r="L673">
        <v>0</v>
      </c>
      <c r="M673">
        <v>0</v>
      </c>
      <c r="N673">
        <v>0</v>
      </c>
      <c r="O673">
        <v>0</v>
      </c>
      <c r="P673">
        <v>1230</v>
      </c>
      <c r="Q673">
        <v>1500</v>
      </c>
      <c r="R673" t="s">
        <v>63</v>
      </c>
      <c r="S673" t="s">
        <v>63</v>
      </c>
    </row>
    <row r="674" spans="1:19" x14ac:dyDescent="0.4">
      <c r="A674" t="s">
        <v>67</v>
      </c>
      <c r="B674">
        <v>202206</v>
      </c>
      <c r="C674">
        <v>16800</v>
      </c>
      <c r="D674" t="s">
        <v>62</v>
      </c>
      <c r="E674" t="s">
        <v>63</v>
      </c>
      <c r="F674" t="s">
        <v>63</v>
      </c>
      <c r="G674" t="s">
        <v>63</v>
      </c>
      <c r="H674" t="s">
        <v>63</v>
      </c>
      <c r="I674">
        <v>745</v>
      </c>
      <c r="J674" t="s">
        <v>68</v>
      </c>
      <c r="K674" t="s">
        <v>68</v>
      </c>
      <c r="L674">
        <v>0</v>
      </c>
      <c r="M674">
        <v>0</v>
      </c>
      <c r="N674">
        <v>0</v>
      </c>
      <c r="O674">
        <v>7</v>
      </c>
      <c r="P674">
        <v>680</v>
      </c>
      <c r="Q674">
        <v>780</v>
      </c>
      <c r="R674">
        <v>1030</v>
      </c>
      <c r="S674">
        <v>660</v>
      </c>
    </row>
    <row r="675" spans="1:19" x14ac:dyDescent="0.4">
      <c r="A675" t="s">
        <v>67</v>
      </c>
      <c r="B675">
        <v>202206</v>
      </c>
      <c r="C675">
        <v>16800</v>
      </c>
      <c r="D675" t="s">
        <v>64</v>
      </c>
      <c r="E675" t="s">
        <v>63</v>
      </c>
      <c r="F675" t="s">
        <v>63</v>
      </c>
      <c r="G675" t="s">
        <v>63</v>
      </c>
      <c r="H675" t="s">
        <v>63</v>
      </c>
      <c r="I675">
        <v>1490</v>
      </c>
      <c r="J675" t="s">
        <v>68</v>
      </c>
      <c r="K675" t="s">
        <v>68</v>
      </c>
      <c r="L675">
        <v>0</v>
      </c>
      <c r="M675">
        <v>0</v>
      </c>
      <c r="N675">
        <v>0</v>
      </c>
      <c r="O675">
        <v>8</v>
      </c>
      <c r="P675">
        <v>1320</v>
      </c>
      <c r="Q675">
        <v>1600</v>
      </c>
      <c r="R675">
        <v>1590</v>
      </c>
      <c r="S675">
        <v>1070</v>
      </c>
    </row>
    <row r="676" spans="1:19" x14ac:dyDescent="0.4">
      <c r="A676" t="s">
        <v>67</v>
      </c>
      <c r="B676">
        <v>202206</v>
      </c>
      <c r="C676">
        <v>17000</v>
      </c>
      <c r="D676" t="s">
        <v>62</v>
      </c>
      <c r="E676" t="s">
        <v>63</v>
      </c>
      <c r="F676" t="s">
        <v>63</v>
      </c>
      <c r="G676" t="s">
        <v>63</v>
      </c>
      <c r="H676" t="s">
        <v>63</v>
      </c>
      <c r="I676">
        <v>665</v>
      </c>
      <c r="J676" t="s">
        <v>68</v>
      </c>
      <c r="K676" t="s">
        <v>68</v>
      </c>
      <c r="L676">
        <v>0</v>
      </c>
      <c r="M676">
        <v>0</v>
      </c>
      <c r="N676">
        <v>0</v>
      </c>
      <c r="O676">
        <v>4</v>
      </c>
      <c r="P676">
        <v>590</v>
      </c>
      <c r="Q676">
        <v>700</v>
      </c>
      <c r="R676">
        <v>940</v>
      </c>
      <c r="S676">
        <v>670</v>
      </c>
    </row>
    <row r="677" spans="1:19" x14ac:dyDescent="0.4">
      <c r="A677" t="s">
        <v>67</v>
      </c>
      <c r="B677">
        <v>202206</v>
      </c>
      <c r="C677">
        <v>17000</v>
      </c>
      <c r="D677" t="s">
        <v>64</v>
      </c>
      <c r="E677" t="s">
        <v>63</v>
      </c>
      <c r="F677" t="s">
        <v>63</v>
      </c>
      <c r="G677" t="s">
        <v>63</v>
      </c>
      <c r="H677" t="s">
        <v>63</v>
      </c>
      <c r="I677">
        <v>1610</v>
      </c>
      <c r="J677" t="s">
        <v>68</v>
      </c>
      <c r="K677" t="s">
        <v>68</v>
      </c>
      <c r="L677">
        <v>0</v>
      </c>
      <c r="M677">
        <v>0</v>
      </c>
      <c r="N677">
        <v>0</v>
      </c>
      <c r="O677">
        <v>18</v>
      </c>
      <c r="P677">
        <v>1430</v>
      </c>
      <c r="Q677">
        <v>1720</v>
      </c>
      <c r="R677">
        <v>1600</v>
      </c>
      <c r="S677">
        <v>1070</v>
      </c>
    </row>
    <row r="678" spans="1:19" x14ac:dyDescent="0.4">
      <c r="A678" t="s">
        <v>67</v>
      </c>
      <c r="B678">
        <v>202206</v>
      </c>
      <c r="C678">
        <v>17200</v>
      </c>
      <c r="D678" t="s">
        <v>62</v>
      </c>
      <c r="E678" t="s">
        <v>63</v>
      </c>
      <c r="F678" t="s">
        <v>63</v>
      </c>
      <c r="G678" t="s">
        <v>63</v>
      </c>
      <c r="H678" t="s">
        <v>63</v>
      </c>
      <c r="I678">
        <v>595</v>
      </c>
      <c r="J678" t="s">
        <v>68</v>
      </c>
      <c r="K678" t="s">
        <v>68</v>
      </c>
      <c r="L678">
        <v>0</v>
      </c>
      <c r="M678">
        <v>0</v>
      </c>
      <c r="N678">
        <v>0</v>
      </c>
      <c r="O678">
        <v>11</v>
      </c>
      <c r="P678">
        <v>545</v>
      </c>
      <c r="Q678">
        <v>595</v>
      </c>
      <c r="R678">
        <v>645</v>
      </c>
      <c r="S678">
        <v>515</v>
      </c>
    </row>
    <row r="679" spans="1:19" x14ac:dyDescent="0.4">
      <c r="A679" t="s">
        <v>67</v>
      </c>
      <c r="B679">
        <v>202206</v>
      </c>
      <c r="C679">
        <v>17200</v>
      </c>
      <c r="D679" t="s">
        <v>64</v>
      </c>
      <c r="E679" t="s">
        <v>63</v>
      </c>
      <c r="F679" t="s">
        <v>63</v>
      </c>
      <c r="G679" t="s">
        <v>63</v>
      </c>
      <c r="H679" t="s">
        <v>63</v>
      </c>
      <c r="I679">
        <v>1740</v>
      </c>
      <c r="J679" t="s">
        <v>68</v>
      </c>
      <c r="K679" t="s">
        <v>68</v>
      </c>
      <c r="L679">
        <v>0</v>
      </c>
      <c r="M679">
        <v>0</v>
      </c>
      <c r="N679">
        <v>0</v>
      </c>
      <c r="O679">
        <v>1</v>
      </c>
      <c r="P679">
        <v>1540</v>
      </c>
      <c r="Q679">
        <v>1840</v>
      </c>
      <c r="R679">
        <v>1190</v>
      </c>
      <c r="S679">
        <v>1190</v>
      </c>
    </row>
    <row r="680" spans="1:19" x14ac:dyDescent="0.4">
      <c r="A680" t="s">
        <v>67</v>
      </c>
      <c r="B680">
        <v>202206</v>
      </c>
      <c r="C680">
        <v>17400</v>
      </c>
      <c r="D680" t="s">
        <v>62</v>
      </c>
      <c r="E680">
        <v>525</v>
      </c>
      <c r="F680">
        <v>525</v>
      </c>
      <c r="G680">
        <v>525</v>
      </c>
      <c r="H680">
        <v>525</v>
      </c>
      <c r="I680">
        <v>525</v>
      </c>
      <c r="J680" t="s">
        <v>101</v>
      </c>
      <c r="K680" t="s">
        <v>831</v>
      </c>
      <c r="L680">
        <v>0</v>
      </c>
      <c r="M680">
        <v>1</v>
      </c>
      <c r="N680">
        <v>1</v>
      </c>
      <c r="O680">
        <v>22</v>
      </c>
      <c r="P680">
        <v>453</v>
      </c>
      <c r="Q680">
        <v>530</v>
      </c>
      <c r="R680">
        <v>540</v>
      </c>
      <c r="S680">
        <v>510</v>
      </c>
    </row>
    <row r="681" spans="1:19" x14ac:dyDescent="0.4">
      <c r="A681" t="s">
        <v>67</v>
      </c>
      <c r="B681">
        <v>202206</v>
      </c>
      <c r="C681">
        <v>17400</v>
      </c>
      <c r="D681" t="s">
        <v>64</v>
      </c>
      <c r="E681" t="s">
        <v>63</v>
      </c>
      <c r="F681" t="s">
        <v>63</v>
      </c>
      <c r="G681" t="s">
        <v>63</v>
      </c>
      <c r="H681" t="s">
        <v>63</v>
      </c>
      <c r="I681">
        <v>1870</v>
      </c>
      <c r="J681" t="s">
        <v>68</v>
      </c>
      <c r="K681" t="s">
        <v>68</v>
      </c>
      <c r="L681">
        <v>0</v>
      </c>
      <c r="M681">
        <v>0</v>
      </c>
      <c r="N681">
        <v>0</v>
      </c>
      <c r="O681">
        <v>1</v>
      </c>
      <c r="P681">
        <v>1710</v>
      </c>
      <c r="Q681">
        <v>1950</v>
      </c>
      <c r="R681">
        <v>1330</v>
      </c>
      <c r="S681">
        <v>1330</v>
      </c>
    </row>
    <row r="682" spans="1:19" x14ac:dyDescent="0.4">
      <c r="A682" t="s">
        <v>67</v>
      </c>
      <c r="B682">
        <v>202206</v>
      </c>
      <c r="C682">
        <v>17600</v>
      </c>
      <c r="D682" t="s">
        <v>62</v>
      </c>
      <c r="E682" t="s">
        <v>63</v>
      </c>
      <c r="F682" t="s">
        <v>63</v>
      </c>
      <c r="G682" t="s">
        <v>63</v>
      </c>
      <c r="H682" t="s">
        <v>63</v>
      </c>
      <c r="I682">
        <v>454</v>
      </c>
      <c r="J682" t="s">
        <v>68</v>
      </c>
      <c r="K682" t="s">
        <v>68</v>
      </c>
      <c r="L682">
        <v>1</v>
      </c>
      <c r="M682">
        <v>0</v>
      </c>
      <c r="N682">
        <v>1</v>
      </c>
      <c r="O682">
        <v>39</v>
      </c>
      <c r="P682">
        <v>415</v>
      </c>
      <c r="Q682">
        <v>486</v>
      </c>
      <c r="R682">
        <v>720</v>
      </c>
      <c r="S682">
        <v>400</v>
      </c>
    </row>
    <row r="683" spans="1:19" x14ac:dyDescent="0.4">
      <c r="A683" t="s">
        <v>67</v>
      </c>
      <c r="B683">
        <v>202206</v>
      </c>
      <c r="C683">
        <v>17600</v>
      </c>
      <c r="D683" t="s">
        <v>64</v>
      </c>
      <c r="E683" t="s">
        <v>63</v>
      </c>
      <c r="F683" t="s">
        <v>63</v>
      </c>
      <c r="G683" t="s">
        <v>63</v>
      </c>
      <c r="H683" t="s">
        <v>63</v>
      </c>
      <c r="I683">
        <v>2000</v>
      </c>
      <c r="J683" t="s">
        <v>68</v>
      </c>
      <c r="K683" t="s">
        <v>68</v>
      </c>
      <c r="L683">
        <v>0</v>
      </c>
      <c r="M683">
        <v>0</v>
      </c>
      <c r="N683">
        <v>0</v>
      </c>
      <c r="O683">
        <v>1</v>
      </c>
      <c r="P683">
        <v>1850</v>
      </c>
      <c r="Q683">
        <v>2090</v>
      </c>
      <c r="R683">
        <v>1640</v>
      </c>
      <c r="S683">
        <v>1640</v>
      </c>
    </row>
    <row r="684" spans="1:19" x14ac:dyDescent="0.4">
      <c r="A684" t="s">
        <v>67</v>
      </c>
      <c r="B684">
        <v>202206</v>
      </c>
      <c r="C684">
        <v>17800</v>
      </c>
      <c r="D684" t="s">
        <v>62</v>
      </c>
      <c r="E684">
        <v>428</v>
      </c>
      <c r="F684">
        <v>428</v>
      </c>
      <c r="G684">
        <v>428</v>
      </c>
      <c r="H684">
        <v>428</v>
      </c>
      <c r="I684">
        <v>389</v>
      </c>
      <c r="J684" t="s">
        <v>832</v>
      </c>
      <c r="K684" t="s">
        <v>833</v>
      </c>
      <c r="L684">
        <v>1</v>
      </c>
      <c r="M684">
        <v>1</v>
      </c>
      <c r="N684">
        <v>2</v>
      </c>
      <c r="O684">
        <v>27</v>
      </c>
      <c r="P684">
        <v>359</v>
      </c>
      <c r="Q684">
        <v>407</v>
      </c>
      <c r="R684">
        <v>700</v>
      </c>
      <c r="S684">
        <v>360</v>
      </c>
    </row>
    <row r="685" spans="1:19" x14ac:dyDescent="0.4">
      <c r="A685" t="s">
        <v>67</v>
      </c>
      <c r="B685">
        <v>202206</v>
      </c>
      <c r="C685">
        <v>17800</v>
      </c>
      <c r="D685" t="s">
        <v>64</v>
      </c>
      <c r="E685" t="s">
        <v>63</v>
      </c>
      <c r="F685" t="s">
        <v>63</v>
      </c>
      <c r="G685" t="s">
        <v>63</v>
      </c>
      <c r="H685" t="s">
        <v>63</v>
      </c>
      <c r="I685">
        <v>2130</v>
      </c>
      <c r="J685" t="s">
        <v>68</v>
      </c>
      <c r="K685" t="s">
        <v>68</v>
      </c>
      <c r="L685">
        <v>0</v>
      </c>
      <c r="M685">
        <v>0</v>
      </c>
      <c r="N685">
        <v>0</v>
      </c>
      <c r="O685">
        <v>0</v>
      </c>
      <c r="P685">
        <v>1970</v>
      </c>
      <c r="Q685">
        <v>2230</v>
      </c>
      <c r="R685" t="s">
        <v>63</v>
      </c>
      <c r="S685" t="s">
        <v>63</v>
      </c>
    </row>
    <row r="686" spans="1:19" x14ac:dyDescent="0.4">
      <c r="A686" t="s">
        <v>67</v>
      </c>
      <c r="B686">
        <v>202206</v>
      </c>
      <c r="C686">
        <v>18000</v>
      </c>
      <c r="D686" t="s">
        <v>62</v>
      </c>
      <c r="E686">
        <v>344</v>
      </c>
      <c r="F686">
        <v>344</v>
      </c>
      <c r="G686">
        <v>330</v>
      </c>
      <c r="H686">
        <v>330</v>
      </c>
      <c r="I686">
        <v>330</v>
      </c>
      <c r="J686" t="s">
        <v>116</v>
      </c>
      <c r="K686" t="s">
        <v>834</v>
      </c>
      <c r="L686">
        <v>0</v>
      </c>
      <c r="M686">
        <v>7</v>
      </c>
      <c r="N686">
        <v>7</v>
      </c>
      <c r="O686">
        <v>163</v>
      </c>
      <c r="P686">
        <v>310</v>
      </c>
      <c r="Q686">
        <v>330</v>
      </c>
      <c r="R686">
        <v>615</v>
      </c>
      <c r="S686">
        <v>300</v>
      </c>
    </row>
    <row r="687" spans="1:19" x14ac:dyDescent="0.4">
      <c r="A687" t="s">
        <v>67</v>
      </c>
      <c r="B687">
        <v>202206</v>
      </c>
      <c r="C687">
        <v>18000</v>
      </c>
      <c r="D687" t="s">
        <v>64</v>
      </c>
      <c r="E687" t="s">
        <v>63</v>
      </c>
      <c r="F687" t="s">
        <v>63</v>
      </c>
      <c r="G687" t="s">
        <v>63</v>
      </c>
      <c r="H687" t="s">
        <v>63</v>
      </c>
      <c r="I687">
        <v>2270</v>
      </c>
      <c r="J687" t="s">
        <v>68</v>
      </c>
      <c r="K687" t="s">
        <v>68</v>
      </c>
      <c r="L687">
        <v>0</v>
      </c>
      <c r="M687">
        <v>0</v>
      </c>
      <c r="N687">
        <v>0</v>
      </c>
      <c r="O687">
        <v>0</v>
      </c>
      <c r="P687">
        <v>2110</v>
      </c>
      <c r="Q687">
        <v>2390</v>
      </c>
      <c r="R687" t="s">
        <v>63</v>
      </c>
      <c r="S687" t="s">
        <v>63</v>
      </c>
    </row>
    <row r="688" spans="1:19" x14ac:dyDescent="0.4">
      <c r="A688" t="s">
        <v>67</v>
      </c>
      <c r="B688">
        <v>202206</v>
      </c>
      <c r="C688">
        <v>18200</v>
      </c>
      <c r="D688" t="s">
        <v>62</v>
      </c>
      <c r="E688">
        <v>330</v>
      </c>
      <c r="F688">
        <v>330</v>
      </c>
      <c r="G688">
        <v>330</v>
      </c>
      <c r="H688">
        <v>330</v>
      </c>
      <c r="I688">
        <v>293</v>
      </c>
      <c r="J688" t="s">
        <v>832</v>
      </c>
      <c r="K688" t="s">
        <v>835</v>
      </c>
      <c r="L688">
        <v>0</v>
      </c>
      <c r="M688">
        <v>1</v>
      </c>
      <c r="N688">
        <v>1</v>
      </c>
      <c r="O688">
        <v>31</v>
      </c>
      <c r="P688">
        <v>265</v>
      </c>
      <c r="Q688">
        <v>310</v>
      </c>
      <c r="R688">
        <v>530</v>
      </c>
      <c r="S688">
        <v>290</v>
      </c>
    </row>
    <row r="689" spans="1:19" x14ac:dyDescent="0.4">
      <c r="A689" t="s">
        <v>67</v>
      </c>
      <c r="B689">
        <v>202206</v>
      </c>
      <c r="C689">
        <v>18200</v>
      </c>
      <c r="D689" t="s">
        <v>64</v>
      </c>
      <c r="E689" t="s">
        <v>63</v>
      </c>
      <c r="F689" t="s">
        <v>63</v>
      </c>
      <c r="G689" t="s">
        <v>63</v>
      </c>
      <c r="H689" t="s">
        <v>63</v>
      </c>
      <c r="I689">
        <v>2440</v>
      </c>
      <c r="J689" t="s">
        <v>68</v>
      </c>
      <c r="K689" t="s">
        <v>68</v>
      </c>
      <c r="L689">
        <v>0</v>
      </c>
      <c r="M689">
        <v>0</v>
      </c>
      <c r="N689">
        <v>0</v>
      </c>
      <c r="O689">
        <v>0</v>
      </c>
      <c r="P689">
        <v>2270</v>
      </c>
      <c r="Q689">
        <v>2550</v>
      </c>
      <c r="R689" t="s">
        <v>63</v>
      </c>
      <c r="S689" t="s">
        <v>63</v>
      </c>
    </row>
    <row r="690" spans="1:19" x14ac:dyDescent="0.4">
      <c r="A690" t="s">
        <v>67</v>
      </c>
      <c r="B690">
        <v>202206</v>
      </c>
      <c r="C690">
        <v>18400</v>
      </c>
      <c r="D690" t="s">
        <v>62</v>
      </c>
      <c r="E690" t="s">
        <v>63</v>
      </c>
      <c r="F690" t="s">
        <v>63</v>
      </c>
      <c r="G690" t="s">
        <v>63</v>
      </c>
      <c r="H690" t="s">
        <v>63</v>
      </c>
      <c r="I690">
        <v>260</v>
      </c>
      <c r="J690" t="s">
        <v>68</v>
      </c>
      <c r="K690" t="s">
        <v>68</v>
      </c>
      <c r="L690">
        <v>0</v>
      </c>
      <c r="M690">
        <v>0</v>
      </c>
      <c r="N690">
        <v>0</v>
      </c>
      <c r="O690">
        <v>2</v>
      </c>
      <c r="P690">
        <v>225</v>
      </c>
      <c r="Q690">
        <v>270</v>
      </c>
      <c r="R690">
        <v>438</v>
      </c>
      <c r="S690">
        <v>420</v>
      </c>
    </row>
    <row r="691" spans="1:19" x14ac:dyDescent="0.4">
      <c r="A691" t="s">
        <v>67</v>
      </c>
      <c r="B691">
        <v>202206</v>
      </c>
      <c r="C691">
        <v>18400</v>
      </c>
      <c r="D691" t="s">
        <v>64</v>
      </c>
      <c r="E691" t="s">
        <v>63</v>
      </c>
      <c r="F691" t="s">
        <v>63</v>
      </c>
      <c r="G691" t="s">
        <v>63</v>
      </c>
      <c r="H691" t="s">
        <v>63</v>
      </c>
      <c r="I691">
        <v>2600</v>
      </c>
      <c r="J691" t="s">
        <v>68</v>
      </c>
      <c r="K691" t="s">
        <v>68</v>
      </c>
      <c r="L691">
        <v>0</v>
      </c>
      <c r="M691">
        <v>0</v>
      </c>
      <c r="N691">
        <v>0</v>
      </c>
      <c r="O691">
        <v>0</v>
      </c>
      <c r="P691">
        <v>2420</v>
      </c>
      <c r="Q691">
        <v>2710</v>
      </c>
      <c r="R691" t="s">
        <v>63</v>
      </c>
      <c r="S691" t="s">
        <v>63</v>
      </c>
    </row>
    <row r="692" spans="1:19" x14ac:dyDescent="0.4">
      <c r="A692" t="s">
        <v>67</v>
      </c>
      <c r="B692">
        <v>202206</v>
      </c>
      <c r="C692">
        <v>18600</v>
      </c>
      <c r="D692" t="s">
        <v>62</v>
      </c>
      <c r="E692" t="s">
        <v>63</v>
      </c>
      <c r="F692" t="s">
        <v>63</v>
      </c>
      <c r="G692" t="s">
        <v>63</v>
      </c>
      <c r="H692" t="s">
        <v>63</v>
      </c>
      <c r="I692">
        <v>231</v>
      </c>
      <c r="J692" t="s">
        <v>68</v>
      </c>
      <c r="K692" t="s">
        <v>68</v>
      </c>
      <c r="L692">
        <v>0</v>
      </c>
      <c r="M692">
        <v>0</v>
      </c>
      <c r="N692">
        <v>0</v>
      </c>
      <c r="O692">
        <v>0</v>
      </c>
      <c r="P692">
        <v>192</v>
      </c>
      <c r="Q692">
        <v>234</v>
      </c>
      <c r="R692" t="s">
        <v>63</v>
      </c>
      <c r="S692" t="s">
        <v>63</v>
      </c>
    </row>
    <row r="693" spans="1:19" x14ac:dyDescent="0.4">
      <c r="A693" t="s">
        <v>67</v>
      </c>
      <c r="B693">
        <v>202206</v>
      </c>
      <c r="C693">
        <v>18600</v>
      </c>
      <c r="D693" t="s">
        <v>64</v>
      </c>
      <c r="E693" t="s">
        <v>63</v>
      </c>
      <c r="F693" t="s">
        <v>63</v>
      </c>
      <c r="G693" t="s">
        <v>63</v>
      </c>
      <c r="H693" t="s">
        <v>63</v>
      </c>
      <c r="I693">
        <v>2770</v>
      </c>
      <c r="J693" t="s">
        <v>68</v>
      </c>
      <c r="K693" t="s">
        <v>68</v>
      </c>
      <c r="L693">
        <v>0</v>
      </c>
      <c r="M693">
        <v>0</v>
      </c>
      <c r="N693">
        <v>0</v>
      </c>
      <c r="O693">
        <v>0</v>
      </c>
      <c r="P693">
        <v>2590</v>
      </c>
      <c r="Q693">
        <v>2870</v>
      </c>
      <c r="R693" t="s">
        <v>63</v>
      </c>
      <c r="S693" t="s">
        <v>63</v>
      </c>
    </row>
    <row r="694" spans="1:19" x14ac:dyDescent="0.4">
      <c r="A694" t="s">
        <v>67</v>
      </c>
      <c r="B694">
        <v>202206</v>
      </c>
      <c r="C694">
        <v>18800</v>
      </c>
      <c r="D694" t="s">
        <v>62</v>
      </c>
      <c r="E694" t="s">
        <v>63</v>
      </c>
      <c r="F694" t="s">
        <v>63</v>
      </c>
      <c r="G694" t="s">
        <v>63</v>
      </c>
      <c r="H694" t="s">
        <v>63</v>
      </c>
      <c r="I694">
        <v>204</v>
      </c>
      <c r="J694" t="s">
        <v>68</v>
      </c>
      <c r="K694" t="s">
        <v>68</v>
      </c>
      <c r="L694">
        <v>0</v>
      </c>
      <c r="M694">
        <v>0</v>
      </c>
      <c r="N694">
        <v>0</v>
      </c>
      <c r="O694">
        <v>1</v>
      </c>
      <c r="P694">
        <v>46.5</v>
      </c>
      <c r="Q694">
        <v>325</v>
      </c>
      <c r="R694">
        <v>338</v>
      </c>
      <c r="S694">
        <v>338</v>
      </c>
    </row>
    <row r="695" spans="1:19" x14ac:dyDescent="0.4">
      <c r="A695" t="s">
        <v>67</v>
      </c>
      <c r="B695">
        <v>202206</v>
      </c>
      <c r="C695">
        <v>18800</v>
      </c>
      <c r="D695" t="s">
        <v>64</v>
      </c>
      <c r="E695" t="s">
        <v>63</v>
      </c>
      <c r="F695" t="s">
        <v>63</v>
      </c>
      <c r="G695" t="s">
        <v>63</v>
      </c>
      <c r="H695" t="s">
        <v>63</v>
      </c>
      <c r="I695">
        <v>2940</v>
      </c>
      <c r="J695" t="s">
        <v>68</v>
      </c>
      <c r="K695" t="s">
        <v>68</v>
      </c>
      <c r="L695">
        <v>0</v>
      </c>
      <c r="M695">
        <v>0</v>
      </c>
      <c r="N695">
        <v>0</v>
      </c>
      <c r="O695">
        <v>0</v>
      </c>
      <c r="P695">
        <v>2750</v>
      </c>
      <c r="Q695">
        <v>3040</v>
      </c>
      <c r="R695" t="s">
        <v>63</v>
      </c>
      <c r="S695" t="s">
        <v>63</v>
      </c>
    </row>
    <row r="696" spans="1:19" x14ac:dyDescent="0.4">
      <c r="A696" t="s">
        <v>67</v>
      </c>
      <c r="B696">
        <v>202206</v>
      </c>
      <c r="C696">
        <v>19000</v>
      </c>
      <c r="D696" t="s">
        <v>62</v>
      </c>
      <c r="E696" t="s">
        <v>63</v>
      </c>
      <c r="F696" t="s">
        <v>63</v>
      </c>
      <c r="G696" t="s">
        <v>63</v>
      </c>
      <c r="H696" t="s">
        <v>63</v>
      </c>
      <c r="I696">
        <v>180</v>
      </c>
      <c r="J696" t="s">
        <v>68</v>
      </c>
      <c r="K696" t="s">
        <v>68</v>
      </c>
      <c r="L696">
        <v>0</v>
      </c>
      <c r="M696">
        <v>0</v>
      </c>
      <c r="N696">
        <v>0</v>
      </c>
      <c r="O696">
        <v>0</v>
      </c>
      <c r="P696">
        <v>140</v>
      </c>
      <c r="Q696">
        <v>181</v>
      </c>
      <c r="R696" t="s">
        <v>63</v>
      </c>
      <c r="S696" t="s">
        <v>63</v>
      </c>
    </row>
    <row r="697" spans="1:19" x14ac:dyDescent="0.4">
      <c r="A697" t="s">
        <v>67</v>
      </c>
      <c r="B697">
        <v>202206</v>
      </c>
      <c r="C697">
        <v>19000</v>
      </c>
      <c r="D697" t="s">
        <v>64</v>
      </c>
      <c r="E697" t="s">
        <v>63</v>
      </c>
      <c r="F697" t="s">
        <v>63</v>
      </c>
      <c r="G697" t="s">
        <v>63</v>
      </c>
      <c r="H697" t="s">
        <v>63</v>
      </c>
      <c r="I697">
        <v>3120</v>
      </c>
      <c r="J697" t="s">
        <v>68</v>
      </c>
      <c r="K697" t="s">
        <v>68</v>
      </c>
      <c r="L697">
        <v>0</v>
      </c>
      <c r="M697">
        <v>0</v>
      </c>
      <c r="N697">
        <v>0</v>
      </c>
      <c r="O697">
        <v>0</v>
      </c>
      <c r="P697">
        <v>2930</v>
      </c>
      <c r="Q697">
        <v>3220</v>
      </c>
      <c r="R697" t="s">
        <v>63</v>
      </c>
      <c r="S697" t="s">
        <v>63</v>
      </c>
    </row>
    <row r="698" spans="1:19" x14ac:dyDescent="0.4">
      <c r="A698" t="s">
        <v>67</v>
      </c>
      <c r="B698">
        <v>202206</v>
      </c>
      <c r="C698">
        <v>19200</v>
      </c>
      <c r="D698" t="s">
        <v>62</v>
      </c>
      <c r="E698" t="s">
        <v>63</v>
      </c>
      <c r="F698" t="s">
        <v>63</v>
      </c>
      <c r="G698" t="s">
        <v>63</v>
      </c>
      <c r="H698" t="s">
        <v>63</v>
      </c>
      <c r="I698">
        <v>156</v>
      </c>
      <c r="J698" t="s">
        <v>68</v>
      </c>
      <c r="K698" t="s">
        <v>68</v>
      </c>
      <c r="L698">
        <v>0</v>
      </c>
      <c r="M698">
        <v>0</v>
      </c>
      <c r="N698">
        <v>0</v>
      </c>
      <c r="O698">
        <v>10</v>
      </c>
      <c r="P698">
        <v>118</v>
      </c>
      <c r="Q698">
        <v>156</v>
      </c>
      <c r="R698">
        <v>280</v>
      </c>
      <c r="S698">
        <v>140</v>
      </c>
    </row>
    <row r="699" spans="1:19" x14ac:dyDescent="0.4">
      <c r="A699" t="s">
        <v>67</v>
      </c>
      <c r="B699">
        <v>202206</v>
      </c>
      <c r="C699">
        <v>19200</v>
      </c>
      <c r="D699" t="s">
        <v>64</v>
      </c>
      <c r="E699" t="s">
        <v>63</v>
      </c>
      <c r="F699" t="s">
        <v>63</v>
      </c>
      <c r="G699" t="s">
        <v>63</v>
      </c>
      <c r="H699" t="s">
        <v>63</v>
      </c>
      <c r="I699">
        <v>3290</v>
      </c>
      <c r="J699" t="s">
        <v>68</v>
      </c>
      <c r="K699" t="s">
        <v>68</v>
      </c>
      <c r="L699">
        <v>0</v>
      </c>
      <c r="M699">
        <v>0</v>
      </c>
      <c r="N699">
        <v>0</v>
      </c>
      <c r="O699">
        <v>0</v>
      </c>
      <c r="P699">
        <v>3090</v>
      </c>
      <c r="Q699">
        <v>3400</v>
      </c>
      <c r="R699" t="s">
        <v>63</v>
      </c>
      <c r="S699" t="s">
        <v>63</v>
      </c>
    </row>
    <row r="700" spans="1:19" x14ac:dyDescent="0.4">
      <c r="A700" t="s">
        <v>67</v>
      </c>
      <c r="B700">
        <v>202206</v>
      </c>
      <c r="C700">
        <v>19400</v>
      </c>
      <c r="D700" t="s">
        <v>62</v>
      </c>
      <c r="E700" t="s">
        <v>63</v>
      </c>
      <c r="F700" t="s">
        <v>63</v>
      </c>
      <c r="G700" t="s">
        <v>63</v>
      </c>
      <c r="H700" t="s">
        <v>63</v>
      </c>
      <c r="I700">
        <v>140</v>
      </c>
      <c r="J700" t="s">
        <v>68</v>
      </c>
      <c r="K700" t="s">
        <v>68</v>
      </c>
      <c r="L700">
        <v>0</v>
      </c>
      <c r="M700">
        <v>0</v>
      </c>
      <c r="N700">
        <v>0</v>
      </c>
      <c r="O700">
        <v>4</v>
      </c>
      <c r="P700">
        <v>22.5</v>
      </c>
      <c r="Q700">
        <v>261</v>
      </c>
      <c r="R700">
        <v>240</v>
      </c>
      <c r="S700">
        <v>240</v>
      </c>
    </row>
    <row r="701" spans="1:19" x14ac:dyDescent="0.4">
      <c r="A701" t="s">
        <v>67</v>
      </c>
      <c r="B701">
        <v>202206</v>
      </c>
      <c r="C701">
        <v>19400</v>
      </c>
      <c r="D701" t="s">
        <v>64</v>
      </c>
      <c r="E701" t="s">
        <v>63</v>
      </c>
      <c r="F701" t="s">
        <v>63</v>
      </c>
      <c r="G701" t="s">
        <v>63</v>
      </c>
      <c r="H701" t="s">
        <v>63</v>
      </c>
      <c r="I701">
        <v>3480</v>
      </c>
      <c r="J701" t="s">
        <v>68</v>
      </c>
      <c r="K701" t="s">
        <v>68</v>
      </c>
      <c r="L701">
        <v>0</v>
      </c>
      <c r="M701">
        <v>0</v>
      </c>
      <c r="N701">
        <v>0</v>
      </c>
      <c r="O701">
        <v>0</v>
      </c>
      <c r="P701">
        <v>3270</v>
      </c>
      <c r="Q701">
        <v>3580</v>
      </c>
      <c r="R701" t="s">
        <v>63</v>
      </c>
      <c r="S701" t="s">
        <v>63</v>
      </c>
    </row>
    <row r="702" spans="1:19" x14ac:dyDescent="0.4">
      <c r="A702" t="s">
        <v>67</v>
      </c>
      <c r="B702">
        <v>202206</v>
      </c>
      <c r="C702">
        <v>19600</v>
      </c>
      <c r="D702" t="s">
        <v>62</v>
      </c>
      <c r="E702" t="s">
        <v>63</v>
      </c>
      <c r="F702" t="s">
        <v>63</v>
      </c>
      <c r="G702" t="s">
        <v>63</v>
      </c>
      <c r="H702" t="s">
        <v>63</v>
      </c>
      <c r="I702">
        <v>123</v>
      </c>
      <c r="J702" t="s">
        <v>68</v>
      </c>
      <c r="K702" t="s">
        <v>68</v>
      </c>
      <c r="L702">
        <v>0</v>
      </c>
      <c r="M702">
        <v>0</v>
      </c>
      <c r="N702">
        <v>0</v>
      </c>
      <c r="O702">
        <v>0</v>
      </c>
      <c r="P702">
        <v>89</v>
      </c>
      <c r="Q702">
        <v>244</v>
      </c>
      <c r="R702" t="s">
        <v>63</v>
      </c>
      <c r="S702" t="s">
        <v>63</v>
      </c>
    </row>
    <row r="703" spans="1:19" x14ac:dyDescent="0.4">
      <c r="A703" t="s">
        <v>67</v>
      </c>
      <c r="B703">
        <v>202206</v>
      </c>
      <c r="C703">
        <v>19600</v>
      </c>
      <c r="D703" t="s">
        <v>64</v>
      </c>
      <c r="E703" t="s">
        <v>63</v>
      </c>
      <c r="F703" t="s">
        <v>63</v>
      </c>
      <c r="G703" t="s">
        <v>63</v>
      </c>
      <c r="H703" t="s">
        <v>63</v>
      </c>
      <c r="I703">
        <v>3660</v>
      </c>
      <c r="J703" t="s">
        <v>68</v>
      </c>
      <c r="K703" t="s">
        <v>68</v>
      </c>
      <c r="L703">
        <v>0</v>
      </c>
      <c r="M703">
        <v>0</v>
      </c>
      <c r="N703">
        <v>0</v>
      </c>
      <c r="O703">
        <v>0</v>
      </c>
      <c r="P703">
        <v>3450</v>
      </c>
      <c r="Q703">
        <v>3760</v>
      </c>
      <c r="R703" t="s">
        <v>63</v>
      </c>
      <c r="S703" t="s">
        <v>63</v>
      </c>
    </row>
    <row r="704" spans="1:19" x14ac:dyDescent="0.4">
      <c r="A704" t="s">
        <v>67</v>
      </c>
      <c r="B704">
        <v>202206</v>
      </c>
      <c r="C704">
        <v>19800</v>
      </c>
      <c r="D704" t="s">
        <v>62</v>
      </c>
      <c r="E704" t="s">
        <v>63</v>
      </c>
      <c r="F704" t="s">
        <v>63</v>
      </c>
      <c r="G704" t="s">
        <v>63</v>
      </c>
      <c r="H704" t="s">
        <v>63</v>
      </c>
      <c r="I704">
        <v>108</v>
      </c>
      <c r="J704" t="s">
        <v>68</v>
      </c>
      <c r="K704" t="s">
        <v>68</v>
      </c>
      <c r="L704">
        <v>0</v>
      </c>
      <c r="M704">
        <v>0</v>
      </c>
      <c r="N704">
        <v>0</v>
      </c>
      <c r="O704">
        <v>3</v>
      </c>
      <c r="P704">
        <v>76</v>
      </c>
      <c r="Q704">
        <v>111</v>
      </c>
      <c r="R704">
        <v>200</v>
      </c>
      <c r="S704">
        <v>100</v>
      </c>
    </row>
    <row r="705" spans="1:19" x14ac:dyDescent="0.4">
      <c r="A705" t="s">
        <v>67</v>
      </c>
      <c r="B705">
        <v>202206</v>
      </c>
      <c r="C705">
        <v>19800</v>
      </c>
      <c r="D705" t="s">
        <v>64</v>
      </c>
      <c r="E705" t="s">
        <v>63</v>
      </c>
      <c r="F705" t="s">
        <v>63</v>
      </c>
      <c r="G705" t="s">
        <v>63</v>
      </c>
      <c r="H705" t="s">
        <v>63</v>
      </c>
      <c r="I705">
        <v>3840</v>
      </c>
      <c r="J705" t="s">
        <v>68</v>
      </c>
      <c r="K705" t="s">
        <v>68</v>
      </c>
      <c r="L705">
        <v>0</v>
      </c>
      <c r="M705">
        <v>0</v>
      </c>
      <c r="N705">
        <v>0</v>
      </c>
      <c r="O705">
        <v>0</v>
      </c>
      <c r="P705">
        <v>3620</v>
      </c>
      <c r="Q705">
        <v>3940</v>
      </c>
      <c r="R705" t="s">
        <v>63</v>
      </c>
      <c r="S705" t="s">
        <v>63</v>
      </c>
    </row>
    <row r="706" spans="1:19" x14ac:dyDescent="0.4">
      <c r="A706" t="s">
        <v>67</v>
      </c>
      <c r="B706">
        <v>202206</v>
      </c>
      <c r="C706">
        <v>20000</v>
      </c>
      <c r="D706" t="s">
        <v>62</v>
      </c>
      <c r="E706" t="s">
        <v>63</v>
      </c>
      <c r="F706" t="s">
        <v>63</v>
      </c>
      <c r="G706" t="s">
        <v>63</v>
      </c>
      <c r="H706" t="s">
        <v>63</v>
      </c>
      <c r="I706">
        <v>91</v>
      </c>
      <c r="J706" t="s">
        <v>68</v>
      </c>
      <c r="K706" t="s">
        <v>68</v>
      </c>
      <c r="L706">
        <v>0</v>
      </c>
      <c r="M706">
        <v>0</v>
      </c>
      <c r="N706">
        <v>0</v>
      </c>
      <c r="O706">
        <v>12</v>
      </c>
      <c r="P706">
        <v>66</v>
      </c>
      <c r="Q706">
        <v>91</v>
      </c>
      <c r="R706">
        <v>160</v>
      </c>
      <c r="S706">
        <v>100</v>
      </c>
    </row>
    <row r="707" spans="1:19" x14ac:dyDescent="0.4">
      <c r="A707" t="s">
        <v>67</v>
      </c>
      <c r="B707">
        <v>202206</v>
      </c>
      <c r="C707">
        <v>20000</v>
      </c>
      <c r="D707" t="s">
        <v>64</v>
      </c>
      <c r="E707" t="s">
        <v>63</v>
      </c>
      <c r="F707" t="s">
        <v>63</v>
      </c>
      <c r="G707" t="s">
        <v>63</v>
      </c>
      <c r="H707" t="s">
        <v>63</v>
      </c>
      <c r="I707">
        <v>4020</v>
      </c>
      <c r="J707" t="s">
        <v>68</v>
      </c>
      <c r="K707" t="s">
        <v>68</v>
      </c>
      <c r="L707">
        <v>0</v>
      </c>
      <c r="M707">
        <v>0</v>
      </c>
      <c r="N707">
        <v>0</v>
      </c>
      <c r="O707">
        <v>0</v>
      </c>
      <c r="P707">
        <v>3820</v>
      </c>
      <c r="Q707">
        <v>4140</v>
      </c>
      <c r="R707" t="s">
        <v>63</v>
      </c>
      <c r="S707" t="s">
        <v>63</v>
      </c>
    </row>
    <row r="708" spans="1:19" x14ac:dyDescent="0.4">
      <c r="A708" t="s">
        <v>67</v>
      </c>
      <c r="B708">
        <v>202206</v>
      </c>
      <c r="C708">
        <v>20200</v>
      </c>
      <c r="D708" t="s">
        <v>62</v>
      </c>
      <c r="E708" t="s">
        <v>63</v>
      </c>
      <c r="F708" t="s">
        <v>63</v>
      </c>
      <c r="G708" t="s">
        <v>63</v>
      </c>
      <c r="H708" t="s">
        <v>63</v>
      </c>
      <c r="I708">
        <v>83</v>
      </c>
      <c r="J708" t="s">
        <v>68</v>
      </c>
      <c r="K708" t="s">
        <v>68</v>
      </c>
      <c r="L708">
        <v>0</v>
      </c>
      <c r="M708">
        <v>0</v>
      </c>
      <c r="N708">
        <v>0</v>
      </c>
      <c r="O708">
        <v>13</v>
      </c>
      <c r="P708">
        <v>7.4</v>
      </c>
      <c r="Q708">
        <v>206</v>
      </c>
      <c r="R708">
        <v>112</v>
      </c>
      <c r="S708">
        <v>83</v>
      </c>
    </row>
    <row r="709" spans="1:19" x14ac:dyDescent="0.4">
      <c r="A709" t="s">
        <v>67</v>
      </c>
      <c r="B709">
        <v>202206</v>
      </c>
      <c r="C709">
        <v>20200</v>
      </c>
      <c r="D709" t="s">
        <v>64</v>
      </c>
      <c r="E709" t="s">
        <v>63</v>
      </c>
      <c r="F709" t="s">
        <v>63</v>
      </c>
      <c r="G709" t="s">
        <v>63</v>
      </c>
      <c r="H709" t="s">
        <v>63</v>
      </c>
      <c r="I709">
        <v>4220</v>
      </c>
      <c r="J709" t="s">
        <v>68</v>
      </c>
      <c r="K709" t="s">
        <v>68</v>
      </c>
      <c r="L709">
        <v>0</v>
      </c>
      <c r="M709">
        <v>0</v>
      </c>
      <c r="N709">
        <v>0</v>
      </c>
      <c r="O709">
        <v>0</v>
      </c>
      <c r="P709">
        <v>4020</v>
      </c>
      <c r="Q709">
        <v>4320</v>
      </c>
      <c r="R709" t="s">
        <v>63</v>
      </c>
      <c r="S709" t="s">
        <v>63</v>
      </c>
    </row>
    <row r="710" spans="1:19" x14ac:dyDescent="0.4">
      <c r="A710" t="s">
        <v>67</v>
      </c>
      <c r="B710">
        <v>202206</v>
      </c>
      <c r="C710">
        <v>20400</v>
      </c>
      <c r="D710" t="s">
        <v>62</v>
      </c>
      <c r="E710" t="s">
        <v>63</v>
      </c>
      <c r="F710" t="s">
        <v>63</v>
      </c>
      <c r="G710" t="s">
        <v>63</v>
      </c>
      <c r="H710" t="s">
        <v>63</v>
      </c>
      <c r="I710">
        <v>73</v>
      </c>
      <c r="J710" t="s">
        <v>68</v>
      </c>
      <c r="K710" t="s">
        <v>68</v>
      </c>
      <c r="L710">
        <v>0</v>
      </c>
      <c r="M710">
        <v>0</v>
      </c>
      <c r="N710">
        <v>0</v>
      </c>
      <c r="O710">
        <v>15</v>
      </c>
      <c r="P710">
        <v>49.5</v>
      </c>
      <c r="Q710">
        <v>81</v>
      </c>
      <c r="R710">
        <v>97</v>
      </c>
      <c r="S710">
        <v>74</v>
      </c>
    </row>
    <row r="711" spans="1:19" x14ac:dyDescent="0.4">
      <c r="A711" t="s">
        <v>67</v>
      </c>
      <c r="B711">
        <v>202206</v>
      </c>
      <c r="C711">
        <v>20400</v>
      </c>
      <c r="D711" t="s">
        <v>64</v>
      </c>
      <c r="E711" t="s">
        <v>63</v>
      </c>
      <c r="F711" t="s">
        <v>63</v>
      </c>
      <c r="G711" t="s">
        <v>63</v>
      </c>
      <c r="H711" t="s">
        <v>63</v>
      </c>
      <c r="I711">
        <v>4410</v>
      </c>
      <c r="J711" t="s">
        <v>68</v>
      </c>
      <c r="K711" t="s">
        <v>68</v>
      </c>
      <c r="L711">
        <v>0</v>
      </c>
      <c r="M711">
        <v>0</v>
      </c>
      <c r="N711">
        <v>0</v>
      </c>
      <c r="O711">
        <v>0</v>
      </c>
      <c r="P711">
        <v>4210</v>
      </c>
      <c r="Q711">
        <v>4500</v>
      </c>
      <c r="R711" t="s">
        <v>63</v>
      </c>
      <c r="S711" t="s">
        <v>63</v>
      </c>
    </row>
    <row r="712" spans="1:19" x14ac:dyDescent="0.4">
      <c r="A712" t="s">
        <v>67</v>
      </c>
      <c r="B712">
        <v>202206</v>
      </c>
      <c r="C712">
        <v>20600</v>
      </c>
      <c r="D712" t="s">
        <v>62</v>
      </c>
      <c r="E712" t="s">
        <v>63</v>
      </c>
      <c r="F712" t="s">
        <v>63</v>
      </c>
      <c r="G712" t="s">
        <v>63</v>
      </c>
      <c r="H712" t="s">
        <v>63</v>
      </c>
      <c r="I712">
        <v>64</v>
      </c>
      <c r="J712" t="s">
        <v>68</v>
      </c>
      <c r="K712" t="s">
        <v>68</v>
      </c>
      <c r="L712">
        <v>0</v>
      </c>
      <c r="M712">
        <v>0</v>
      </c>
      <c r="N712">
        <v>0</v>
      </c>
      <c r="O712">
        <v>17</v>
      </c>
      <c r="P712">
        <v>5.5</v>
      </c>
      <c r="Q712">
        <v>190</v>
      </c>
      <c r="R712">
        <v>85</v>
      </c>
      <c r="S712">
        <v>68</v>
      </c>
    </row>
    <row r="713" spans="1:19" x14ac:dyDescent="0.4">
      <c r="A713" t="s">
        <v>67</v>
      </c>
      <c r="B713">
        <v>202206</v>
      </c>
      <c r="C713">
        <v>20600</v>
      </c>
      <c r="D713" t="s">
        <v>64</v>
      </c>
      <c r="E713" t="s">
        <v>63</v>
      </c>
      <c r="F713" t="s">
        <v>63</v>
      </c>
      <c r="G713" t="s">
        <v>63</v>
      </c>
      <c r="H713" t="s">
        <v>63</v>
      </c>
      <c r="I713">
        <v>4600</v>
      </c>
      <c r="J713" t="s">
        <v>68</v>
      </c>
      <c r="K713" t="s">
        <v>68</v>
      </c>
      <c r="L713">
        <v>0</v>
      </c>
      <c r="M713">
        <v>0</v>
      </c>
      <c r="N713">
        <v>0</v>
      </c>
      <c r="O713">
        <v>0</v>
      </c>
      <c r="P713">
        <v>4380</v>
      </c>
      <c r="Q713">
        <v>4700</v>
      </c>
      <c r="R713" t="s">
        <v>63</v>
      </c>
      <c r="S713" t="s">
        <v>63</v>
      </c>
    </row>
    <row r="714" spans="1:19" x14ac:dyDescent="0.4">
      <c r="A714" t="s">
        <v>67</v>
      </c>
      <c r="B714">
        <v>202206</v>
      </c>
      <c r="C714">
        <v>20800</v>
      </c>
      <c r="D714" t="s">
        <v>62</v>
      </c>
      <c r="E714" t="s">
        <v>63</v>
      </c>
      <c r="F714" t="s">
        <v>63</v>
      </c>
      <c r="G714" t="s">
        <v>63</v>
      </c>
      <c r="H714" t="s">
        <v>63</v>
      </c>
      <c r="I714">
        <v>56</v>
      </c>
      <c r="J714" t="s">
        <v>68</v>
      </c>
      <c r="K714" t="s">
        <v>68</v>
      </c>
      <c r="L714">
        <v>0</v>
      </c>
      <c r="M714">
        <v>0</v>
      </c>
      <c r="N714">
        <v>0</v>
      </c>
      <c r="O714">
        <v>3</v>
      </c>
      <c r="P714">
        <v>36.5</v>
      </c>
      <c r="Q714">
        <v>68</v>
      </c>
      <c r="R714">
        <v>61</v>
      </c>
      <c r="S714">
        <v>60</v>
      </c>
    </row>
    <row r="715" spans="1:19" x14ac:dyDescent="0.4">
      <c r="A715" t="s">
        <v>67</v>
      </c>
      <c r="B715">
        <v>202206</v>
      </c>
      <c r="C715">
        <v>20800</v>
      </c>
      <c r="D715" t="s">
        <v>64</v>
      </c>
      <c r="E715" t="s">
        <v>63</v>
      </c>
      <c r="F715" t="s">
        <v>63</v>
      </c>
      <c r="G715" t="s">
        <v>63</v>
      </c>
      <c r="H715" t="s">
        <v>63</v>
      </c>
      <c r="I715">
        <v>4790</v>
      </c>
      <c r="J715" t="s">
        <v>68</v>
      </c>
      <c r="K715" t="s">
        <v>68</v>
      </c>
      <c r="L715">
        <v>0</v>
      </c>
      <c r="M715">
        <v>0</v>
      </c>
      <c r="N715">
        <v>0</v>
      </c>
      <c r="O715">
        <v>0</v>
      </c>
      <c r="P715">
        <v>4600</v>
      </c>
      <c r="Q715">
        <v>4900</v>
      </c>
      <c r="R715" t="s">
        <v>63</v>
      </c>
      <c r="S715" t="s">
        <v>63</v>
      </c>
    </row>
    <row r="716" spans="1:19" x14ac:dyDescent="0.4">
      <c r="A716" t="s">
        <v>67</v>
      </c>
      <c r="B716">
        <v>202206</v>
      </c>
      <c r="C716">
        <v>21000</v>
      </c>
      <c r="D716" t="s">
        <v>62</v>
      </c>
      <c r="E716">
        <v>49</v>
      </c>
      <c r="F716">
        <v>49</v>
      </c>
      <c r="G716">
        <v>49</v>
      </c>
      <c r="H716">
        <v>49</v>
      </c>
      <c r="I716">
        <v>49</v>
      </c>
      <c r="J716" t="s">
        <v>102</v>
      </c>
      <c r="K716" t="s">
        <v>299</v>
      </c>
      <c r="L716">
        <v>1</v>
      </c>
      <c r="M716">
        <v>1</v>
      </c>
      <c r="N716">
        <v>2</v>
      </c>
      <c r="O716">
        <v>52</v>
      </c>
      <c r="P716">
        <v>49</v>
      </c>
      <c r="Q716">
        <v>54</v>
      </c>
      <c r="R716">
        <v>78</v>
      </c>
      <c r="S716">
        <v>35</v>
      </c>
    </row>
    <row r="717" spans="1:19" x14ac:dyDescent="0.4">
      <c r="A717" t="s">
        <v>67</v>
      </c>
      <c r="B717">
        <v>202206</v>
      </c>
      <c r="C717">
        <v>21000</v>
      </c>
      <c r="D717" t="s">
        <v>64</v>
      </c>
      <c r="E717" t="s">
        <v>63</v>
      </c>
      <c r="F717" t="s">
        <v>63</v>
      </c>
      <c r="G717" t="s">
        <v>63</v>
      </c>
      <c r="H717" t="s">
        <v>63</v>
      </c>
      <c r="I717">
        <v>4980</v>
      </c>
      <c r="J717" t="s">
        <v>68</v>
      </c>
      <c r="K717" t="s">
        <v>68</v>
      </c>
      <c r="L717">
        <v>0</v>
      </c>
      <c r="M717">
        <v>0</v>
      </c>
      <c r="N717">
        <v>0</v>
      </c>
      <c r="O717">
        <v>0</v>
      </c>
      <c r="P717">
        <v>4790</v>
      </c>
      <c r="Q717">
        <v>5090</v>
      </c>
      <c r="R717" t="s">
        <v>63</v>
      </c>
      <c r="S717" t="s">
        <v>63</v>
      </c>
    </row>
    <row r="718" spans="1:19" x14ac:dyDescent="0.4">
      <c r="A718" t="s">
        <v>141</v>
      </c>
      <c r="B718" t="s">
        <v>141</v>
      </c>
      <c r="C718" t="s">
        <v>141</v>
      </c>
      <c r="D718" t="s">
        <v>141</v>
      </c>
      <c r="E718" t="s">
        <v>141</v>
      </c>
      <c r="F718" t="s">
        <v>141</v>
      </c>
      <c r="G718" t="s">
        <v>141</v>
      </c>
      <c r="H718" t="s">
        <v>141</v>
      </c>
      <c r="I718" t="s">
        <v>141</v>
      </c>
      <c r="J718" t="s">
        <v>141</v>
      </c>
      <c r="K718" t="s">
        <v>65</v>
      </c>
      <c r="L718">
        <v>308499</v>
      </c>
      <c r="M718">
        <v>934405</v>
      </c>
      <c r="N718">
        <v>1242904</v>
      </c>
      <c r="O718">
        <v>680003</v>
      </c>
      <c r="P718" t="s">
        <v>141</v>
      </c>
      <c r="Q718" t="s">
        <v>141</v>
      </c>
      <c r="R718" t="s">
        <v>141</v>
      </c>
      <c r="S718" t="s">
        <v>141</v>
      </c>
    </row>
    <row r="719" spans="1:19" x14ac:dyDescent="0.4">
      <c r="A719" t="s">
        <v>66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01777-94E6-48FA-80C8-933BD831C648}">
  <sheetPr codeName="工作表7"/>
  <dimension ref="A1:S682"/>
  <sheetViews>
    <sheetView topLeftCell="B1" workbookViewId="0">
      <selection activeCell="B2" sqref="B2"/>
    </sheetView>
  </sheetViews>
  <sheetFormatPr defaultRowHeight="17" x14ac:dyDescent="0.4"/>
  <cols>
    <col min="1" max="1" width="51.08984375" bestFit="1" customWidth="1"/>
    <col min="2" max="2" width="10.1796875" bestFit="1" customWidth="1"/>
    <col min="3" max="9" width="7.81640625" bestFit="1" customWidth="1"/>
    <col min="10" max="10" width="8.1796875" bestFit="1" customWidth="1"/>
    <col min="11" max="11" width="12.08984375" bestFit="1" customWidth="1"/>
    <col min="12" max="13" width="8.81640625" bestFit="1" customWidth="1"/>
    <col min="14" max="15" width="14.7265625" bestFit="1" customWidth="1"/>
    <col min="16" max="17" width="12.36328125" bestFit="1" customWidth="1"/>
  </cols>
  <sheetData>
    <row r="1" spans="1:19" ht="51" x14ac:dyDescent="0.4">
      <c r="A1" s="26" t="s">
        <v>48</v>
      </c>
      <c r="B1" s="26" t="s">
        <v>236</v>
      </c>
      <c r="C1" s="26" t="s">
        <v>49</v>
      </c>
      <c r="D1" s="26" t="s">
        <v>50</v>
      </c>
      <c r="E1" s="26" t="s">
        <v>51</v>
      </c>
      <c r="F1" t="s">
        <v>52</v>
      </c>
      <c r="G1" t="s">
        <v>53</v>
      </c>
      <c r="H1" s="26" t="s">
        <v>237</v>
      </c>
      <c r="I1" t="s">
        <v>54</v>
      </c>
      <c r="J1" t="s">
        <v>55</v>
      </c>
      <c r="K1" t="s">
        <v>56</v>
      </c>
      <c r="L1" t="s">
        <v>240</v>
      </c>
      <c r="M1" s="26" t="s">
        <v>241</v>
      </c>
      <c r="N1" t="s">
        <v>242</v>
      </c>
      <c r="O1" t="s">
        <v>170</v>
      </c>
      <c r="P1" t="s">
        <v>58</v>
      </c>
      <c r="Q1" t="s">
        <v>59</v>
      </c>
      <c r="R1" t="s">
        <v>60</v>
      </c>
      <c r="S1" t="s">
        <v>61</v>
      </c>
    </row>
    <row r="2" spans="1:19" x14ac:dyDescent="0.4">
      <c r="A2" s="26" t="s">
        <v>67</v>
      </c>
      <c r="B2">
        <v>202110</v>
      </c>
      <c r="C2">
        <v>13800</v>
      </c>
      <c r="D2" t="s">
        <v>62</v>
      </c>
      <c r="E2" t="s">
        <v>63</v>
      </c>
      <c r="F2" t="s">
        <v>63</v>
      </c>
      <c r="G2" t="s">
        <v>63</v>
      </c>
      <c r="H2" t="s">
        <v>63</v>
      </c>
      <c r="I2">
        <v>2920</v>
      </c>
      <c r="J2" t="s">
        <v>68</v>
      </c>
      <c r="K2" t="s">
        <v>68</v>
      </c>
      <c r="L2">
        <v>0</v>
      </c>
      <c r="M2">
        <v>0</v>
      </c>
      <c r="N2">
        <v>0</v>
      </c>
      <c r="O2">
        <v>3</v>
      </c>
      <c r="P2">
        <v>2790</v>
      </c>
      <c r="Q2">
        <v>3070</v>
      </c>
      <c r="R2">
        <v>3510</v>
      </c>
      <c r="S2">
        <v>3000</v>
      </c>
    </row>
    <row r="3" spans="1:19" x14ac:dyDescent="0.4">
      <c r="A3" t="s">
        <v>67</v>
      </c>
      <c r="B3">
        <v>202110</v>
      </c>
      <c r="C3">
        <v>13800</v>
      </c>
      <c r="D3" t="s">
        <v>64</v>
      </c>
      <c r="E3">
        <v>0.2</v>
      </c>
      <c r="F3">
        <v>0.2</v>
      </c>
      <c r="G3">
        <v>0.1</v>
      </c>
      <c r="H3">
        <v>0.1</v>
      </c>
      <c r="I3">
        <v>0.1</v>
      </c>
      <c r="J3" t="s">
        <v>70</v>
      </c>
      <c r="K3" s="28" t="s">
        <v>341</v>
      </c>
      <c r="L3">
        <v>48</v>
      </c>
      <c r="M3">
        <v>10</v>
      </c>
      <c r="N3">
        <v>58</v>
      </c>
      <c r="O3">
        <v>5723</v>
      </c>
      <c r="P3">
        <v>0.1</v>
      </c>
      <c r="Q3">
        <v>0.5</v>
      </c>
      <c r="R3">
        <v>70</v>
      </c>
      <c r="S3">
        <v>0.1</v>
      </c>
    </row>
    <row r="4" spans="1:19" x14ac:dyDescent="0.4">
      <c r="A4" t="s">
        <v>67</v>
      </c>
      <c r="B4">
        <v>202110</v>
      </c>
      <c r="C4">
        <v>13900</v>
      </c>
      <c r="D4" t="s">
        <v>62</v>
      </c>
      <c r="E4" t="s">
        <v>63</v>
      </c>
      <c r="F4" t="s">
        <v>63</v>
      </c>
      <c r="G4" t="s">
        <v>63</v>
      </c>
      <c r="H4" t="s">
        <v>63</v>
      </c>
      <c r="I4">
        <v>2820</v>
      </c>
      <c r="J4" t="s">
        <v>68</v>
      </c>
      <c r="K4" t="s">
        <v>68</v>
      </c>
      <c r="L4">
        <v>0</v>
      </c>
      <c r="M4">
        <v>0</v>
      </c>
      <c r="N4">
        <v>0</v>
      </c>
      <c r="O4">
        <v>0</v>
      </c>
      <c r="P4">
        <v>2690</v>
      </c>
      <c r="Q4">
        <v>2970</v>
      </c>
      <c r="R4" t="s">
        <v>63</v>
      </c>
      <c r="S4" t="s">
        <v>63</v>
      </c>
    </row>
    <row r="5" spans="1:19" x14ac:dyDescent="0.4">
      <c r="A5" t="s">
        <v>67</v>
      </c>
      <c r="B5">
        <v>202110</v>
      </c>
      <c r="C5">
        <v>13900</v>
      </c>
      <c r="D5" t="s">
        <v>64</v>
      </c>
      <c r="E5">
        <v>0.2</v>
      </c>
      <c r="F5">
        <v>0.2</v>
      </c>
      <c r="G5">
        <v>0.2</v>
      </c>
      <c r="H5">
        <v>0.2</v>
      </c>
      <c r="I5">
        <v>0.2</v>
      </c>
      <c r="J5" t="s">
        <v>74</v>
      </c>
      <c r="K5" t="s">
        <v>143</v>
      </c>
      <c r="L5">
        <v>20</v>
      </c>
      <c r="M5">
        <v>3</v>
      </c>
      <c r="N5">
        <v>23</v>
      </c>
      <c r="O5">
        <v>3528</v>
      </c>
      <c r="P5" t="s">
        <v>63</v>
      </c>
      <c r="Q5">
        <v>1.8</v>
      </c>
      <c r="R5">
        <v>125</v>
      </c>
      <c r="S5">
        <v>0.2</v>
      </c>
    </row>
    <row r="6" spans="1:19" x14ac:dyDescent="0.4">
      <c r="A6" t="s">
        <v>67</v>
      </c>
      <c r="B6">
        <v>202110</v>
      </c>
      <c r="C6">
        <v>14000</v>
      </c>
      <c r="D6" t="s">
        <v>62</v>
      </c>
      <c r="E6" t="s">
        <v>63</v>
      </c>
      <c r="F6" t="s">
        <v>63</v>
      </c>
      <c r="G6" t="s">
        <v>63</v>
      </c>
      <c r="H6" t="s">
        <v>63</v>
      </c>
      <c r="I6">
        <v>2720</v>
      </c>
      <c r="J6" t="s">
        <v>68</v>
      </c>
      <c r="K6" t="s">
        <v>68</v>
      </c>
      <c r="L6">
        <v>0</v>
      </c>
      <c r="M6">
        <v>0</v>
      </c>
      <c r="N6">
        <v>0</v>
      </c>
      <c r="O6">
        <v>0</v>
      </c>
      <c r="P6">
        <v>2590</v>
      </c>
      <c r="Q6">
        <v>2870</v>
      </c>
      <c r="R6" t="s">
        <v>63</v>
      </c>
      <c r="S6" t="s">
        <v>63</v>
      </c>
    </row>
    <row r="7" spans="1:19" x14ac:dyDescent="0.4">
      <c r="A7" t="s">
        <v>67</v>
      </c>
      <c r="B7">
        <v>202110</v>
      </c>
      <c r="C7">
        <v>14000</v>
      </c>
      <c r="D7" t="s">
        <v>64</v>
      </c>
      <c r="E7">
        <v>0.2</v>
      </c>
      <c r="F7">
        <v>0.2</v>
      </c>
      <c r="G7">
        <v>0.1</v>
      </c>
      <c r="H7">
        <v>0.2</v>
      </c>
      <c r="I7">
        <v>0.2</v>
      </c>
      <c r="J7" t="s">
        <v>105</v>
      </c>
      <c r="K7" s="28" t="s">
        <v>305</v>
      </c>
      <c r="L7">
        <v>0</v>
      </c>
      <c r="M7">
        <v>20</v>
      </c>
      <c r="N7">
        <v>20</v>
      </c>
      <c r="O7">
        <v>2698</v>
      </c>
      <c r="P7">
        <v>0.1</v>
      </c>
      <c r="Q7">
        <v>1.9</v>
      </c>
      <c r="R7">
        <v>125</v>
      </c>
      <c r="S7">
        <v>0.1</v>
      </c>
    </row>
    <row r="8" spans="1:19" x14ac:dyDescent="0.4">
      <c r="A8" t="s">
        <v>67</v>
      </c>
      <c r="B8">
        <v>202110</v>
      </c>
      <c r="C8">
        <v>14100</v>
      </c>
      <c r="D8" t="s">
        <v>62</v>
      </c>
      <c r="E8" t="s">
        <v>63</v>
      </c>
      <c r="F8" t="s">
        <v>63</v>
      </c>
      <c r="G8" t="s">
        <v>63</v>
      </c>
      <c r="H8" t="s">
        <v>63</v>
      </c>
      <c r="I8">
        <v>2620</v>
      </c>
      <c r="J8" t="s">
        <v>68</v>
      </c>
      <c r="K8" t="s">
        <v>68</v>
      </c>
      <c r="L8">
        <v>0</v>
      </c>
      <c r="M8">
        <v>0</v>
      </c>
      <c r="N8">
        <v>0</v>
      </c>
      <c r="O8">
        <v>0</v>
      </c>
      <c r="P8">
        <v>2490</v>
      </c>
      <c r="Q8">
        <v>2770</v>
      </c>
      <c r="R8" t="s">
        <v>63</v>
      </c>
      <c r="S8" t="s">
        <v>63</v>
      </c>
    </row>
    <row r="9" spans="1:19" x14ac:dyDescent="0.4">
      <c r="A9" t="s">
        <v>67</v>
      </c>
      <c r="B9">
        <v>202110</v>
      </c>
      <c r="C9">
        <v>14100</v>
      </c>
      <c r="D9" t="s">
        <v>64</v>
      </c>
      <c r="E9">
        <v>0.3</v>
      </c>
      <c r="F9">
        <v>0.3</v>
      </c>
      <c r="G9">
        <v>0.2</v>
      </c>
      <c r="H9">
        <v>0.3</v>
      </c>
      <c r="I9">
        <v>0.2</v>
      </c>
      <c r="J9" t="s">
        <v>70</v>
      </c>
      <c r="K9" t="s">
        <v>256</v>
      </c>
      <c r="L9">
        <v>0</v>
      </c>
      <c r="M9">
        <v>32</v>
      </c>
      <c r="N9">
        <v>32</v>
      </c>
      <c r="O9">
        <v>370</v>
      </c>
      <c r="P9" t="s">
        <v>63</v>
      </c>
      <c r="Q9">
        <v>8</v>
      </c>
      <c r="R9">
        <v>174</v>
      </c>
      <c r="S9">
        <v>0.2</v>
      </c>
    </row>
    <row r="10" spans="1:19" x14ac:dyDescent="0.4">
      <c r="A10" t="s">
        <v>67</v>
      </c>
      <c r="B10">
        <v>202110</v>
      </c>
      <c r="C10">
        <v>14200</v>
      </c>
      <c r="D10" t="s">
        <v>62</v>
      </c>
      <c r="E10" t="s">
        <v>63</v>
      </c>
      <c r="F10" t="s">
        <v>63</v>
      </c>
      <c r="G10" t="s">
        <v>63</v>
      </c>
      <c r="H10" t="s">
        <v>63</v>
      </c>
      <c r="I10">
        <v>2520</v>
      </c>
      <c r="J10" t="s">
        <v>68</v>
      </c>
      <c r="K10" t="s">
        <v>68</v>
      </c>
      <c r="L10">
        <v>0</v>
      </c>
      <c r="M10">
        <v>0</v>
      </c>
      <c r="N10">
        <v>0</v>
      </c>
      <c r="O10">
        <v>0</v>
      </c>
      <c r="P10">
        <v>2390</v>
      </c>
      <c r="Q10">
        <v>2670</v>
      </c>
      <c r="R10" t="s">
        <v>63</v>
      </c>
      <c r="S10" t="s">
        <v>63</v>
      </c>
    </row>
    <row r="11" spans="1:19" x14ac:dyDescent="0.4">
      <c r="A11" t="s">
        <v>67</v>
      </c>
      <c r="B11">
        <v>202110</v>
      </c>
      <c r="C11">
        <v>14200</v>
      </c>
      <c r="D11" t="s">
        <v>64</v>
      </c>
      <c r="E11">
        <v>0.2</v>
      </c>
      <c r="F11">
        <v>0.2</v>
      </c>
      <c r="G11">
        <v>0.2</v>
      </c>
      <c r="H11">
        <v>0.2</v>
      </c>
      <c r="I11">
        <v>0.2</v>
      </c>
      <c r="J11" t="s">
        <v>105</v>
      </c>
      <c r="K11" t="s">
        <v>305</v>
      </c>
      <c r="L11">
        <v>2</v>
      </c>
      <c r="M11">
        <v>15</v>
      </c>
      <c r="N11">
        <v>17</v>
      </c>
      <c r="O11">
        <v>490</v>
      </c>
      <c r="P11" t="s">
        <v>63</v>
      </c>
      <c r="Q11">
        <v>6</v>
      </c>
      <c r="R11">
        <v>177</v>
      </c>
      <c r="S11">
        <v>0.2</v>
      </c>
    </row>
    <row r="12" spans="1:19" x14ac:dyDescent="0.4">
      <c r="A12" t="s">
        <v>67</v>
      </c>
      <c r="B12">
        <v>202110</v>
      </c>
      <c r="C12">
        <v>14300</v>
      </c>
      <c r="D12" t="s">
        <v>62</v>
      </c>
      <c r="E12" t="s">
        <v>63</v>
      </c>
      <c r="F12" t="s">
        <v>63</v>
      </c>
      <c r="G12" t="s">
        <v>63</v>
      </c>
      <c r="H12" t="s">
        <v>63</v>
      </c>
      <c r="I12">
        <v>2420</v>
      </c>
      <c r="J12" t="s">
        <v>68</v>
      </c>
      <c r="K12" t="s">
        <v>68</v>
      </c>
      <c r="L12">
        <v>0</v>
      </c>
      <c r="M12">
        <v>0</v>
      </c>
      <c r="N12">
        <v>0</v>
      </c>
      <c r="O12">
        <v>0</v>
      </c>
      <c r="P12">
        <v>2290</v>
      </c>
      <c r="Q12">
        <v>2570</v>
      </c>
      <c r="R12" t="s">
        <v>63</v>
      </c>
      <c r="S12" t="s">
        <v>63</v>
      </c>
    </row>
    <row r="13" spans="1:19" x14ac:dyDescent="0.4">
      <c r="A13" t="s">
        <v>67</v>
      </c>
      <c r="B13">
        <v>202110</v>
      </c>
      <c r="C13">
        <v>14300</v>
      </c>
      <c r="D13" t="s">
        <v>64</v>
      </c>
      <c r="E13" t="s">
        <v>63</v>
      </c>
      <c r="F13" t="s">
        <v>63</v>
      </c>
      <c r="G13" t="s">
        <v>63</v>
      </c>
      <c r="H13" t="s">
        <v>63</v>
      </c>
      <c r="I13">
        <v>0.3</v>
      </c>
      <c r="J13" t="s">
        <v>68</v>
      </c>
      <c r="K13" t="s">
        <v>68</v>
      </c>
      <c r="L13">
        <v>0</v>
      </c>
      <c r="M13">
        <v>0</v>
      </c>
      <c r="N13">
        <v>0</v>
      </c>
      <c r="O13">
        <v>442</v>
      </c>
      <c r="P13" t="s">
        <v>63</v>
      </c>
      <c r="Q13">
        <v>16</v>
      </c>
      <c r="R13">
        <v>197</v>
      </c>
      <c r="S13">
        <v>0.5</v>
      </c>
    </row>
    <row r="14" spans="1:19" x14ac:dyDescent="0.4">
      <c r="A14" t="s">
        <v>67</v>
      </c>
      <c r="B14">
        <v>202110</v>
      </c>
      <c r="C14">
        <v>14400</v>
      </c>
      <c r="D14" t="s">
        <v>62</v>
      </c>
      <c r="E14" t="s">
        <v>63</v>
      </c>
      <c r="F14" t="s">
        <v>63</v>
      </c>
      <c r="G14" t="s">
        <v>63</v>
      </c>
      <c r="H14" t="s">
        <v>63</v>
      </c>
      <c r="I14">
        <v>2320</v>
      </c>
      <c r="J14" t="s">
        <v>68</v>
      </c>
      <c r="K14" t="s">
        <v>68</v>
      </c>
      <c r="L14">
        <v>0</v>
      </c>
      <c r="M14">
        <v>0</v>
      </c>
      <c r="N14">
        <v>0</v>
      </c>
      <c r="O14">
        <v>57</v>
      </c>
      <c r="P14">
        <v>2190</v>
      </c>
      <c r="Q14">
        <v>2470</v>
      </c>
      <c r="R14">
        <v>3010</v>
      </c>
      <c r="S14">
        <v>2080</v>
      </c>
    </row>
    <row r="15" spans="1:19" x14ac:dyDescent="0.4">
      <c r="A15" t="s">
        <v>67</v>
      </c>
      <c r="B15">
        <v>202110</v>
      </c>
      <c r="C15">
        <v>14400</v>
      </c>
      <c r="D15" t="s">
        <v>64</v>
      </c>
      <c r="E15">
        <v>0.4</v>
      </c>
      <c r="F15">
        <v>0.4</v>
      </c>
      <c r="G15">
        <v>0.2</v>
      </c>
      <c r="H15">
        <v>0.3</v>
      </c>
      <c r="I15">
        <v>0.3</v>
      </c>
      <c r="J15" t="s">
        <v>105</v>
      </c>
      <c r="K15" t="s">
        <v>125</v>
      </c>
      <c r="L15">
        <v>0</v>
      </c>
      <c r="M15">
        <v>11</v>
      </c>
      <c r="N15">
        <v>11</v>
      </c>
      <c r="O15">
        <v>754</v>
      </c>
      <c r="P15" t="s">
        <v>63</v>
      </c>
      <c r="Q15">
        <v>13</v>
      </c>
      <c r="R15">
        <v>158</v>
      </c>
      <c r="S15">
        <v>0.2</v>
      </c>
    </row>
    <row r="16" spans="1:19" x14ac:dyDescent="0.4">
      <c r="A16" t="s">
        <v>67</v>
      </c>
      <c r="B16">
        <v>202110</v>
      </c>
      <c r="C16">
        <v>14500</v>
      </c>
      <c r="D16" t="s">
        <v>62</v>
      </c>
      <c r="E16" t="s">
        <v>63</v>
      </c>
      <c r="F16" t="s">
        <v>63</v>
      </c>
      <c r="G16" t="s">
        <v>63</v>
      </c>
      <c r="H16" t="s">
        <v>63</v>
      </c>
      <c r="I16">
        <v>2220</v>
      </c>
      <c r="J16" t="s">
        <v>68</v>
      </c>
      <c r="K16" t="s">
        <v>68</v>
      </c>
      <c r="L16">
        <v>0</v>
      </c>
      <c r="M16">
        <v>0</v>
      </c>
      <c r="N16">
        <v>0</v>
      </c>
      <c r="O16">
        <v>5</v>
      </c>
      <c r="P16">
        <v>2090</v>
      </c>
      <c r="Q16">
        <v>2370</v>
      </c>
      <c r="R16">
        <v>2900</v>
      </c>
      <c r="S16">
        <v>2450</v>
      </c>
    </row>
    <row r="17" spans="1:19" x14ac:dyDescent="0.4">
      <c r="A17" t="s">
        <v>67</v>
      </c>
      <c r="B17">
        <v>202110</v>
      </c>
      <c r="C17">
        <v>14500</v>
      </c>
      <c r="D17" t="s">
        <v>64</v>
      </c>
      <c r="E17">
        <v>0.4</v>
      </c>
      <c r="F17">
        <v>0.5</v>
      </c>
      <c r="G17">
        <v>0.3</v>
      </c>
      <c r="H17">
        <v>0.5</v>
      </c>
      <c r="I17">
        <v>0.5</v>
      </c>
      <c r="J17" t="s">
        <v>74</v>
      </c>
      <c r="K17" s="28" t="s">
        <v>123</v>
      </c>
      <c r="L17">
        <v>0</v>
      </c>
      <c r="M17">
        <v>28</v>
      </c>
      <c r="N17">
        <v>28</v>
      </c>
      <c r="O17">
        <v>3795</v>
      </c>
      <c r="P17" t="s">
        <v>63</v>
      </c>
      <c r="Q17">
        <v>1.9</v>
      </c>
      <c r="R17">
        <v>225</v>
      </c>
      <c r="S17">
        <v>0.3</v>
      </c>
    </row>
    <row r="18" spans="1:19" x14ac:dyDescent="0.4">
      <c r="A18" t="s">
        <v>67</v>
      </c>
      <c r="B18">
        <v>202110</v>
      </c>
      <c r="C18">
        <v>14600</v>
      </c>
      <c r="D18" t="s">
        <v>62</v>
      </c>
      <c r="E18" t="s">
        <v>63</v>
      </c>
      <c r="F18" t="s">
        <v>63</v>
      </c>
      <c r="G18" t="s">
        <v>63</v>
      </c>
      <c r="H18" t="s">
        <v>63</v>
      </c>
      <c r="I18">
        <v>2120</v>
      </c>
      <c r="J18" t="s">
        <v>68</v>
      </c>
      <c r="K18" t="s">
        <v>68</v>
      </c>
      <c r="L18">
        <v>0</v>
      </c>
      <c r="M18">
        <v>0</v>
      </c>
      <c r="N18">
        <v>0</v>
      </c>
      <c r="O18">
        <v>0</v>
      </c>
      <c r="P18">
        <v>1990</v>
      </c>
      <c r="Q18">
        <v>2270</v>
      </c>
      <c r="R18" t="s">
        <v>63</v>
      </c>
      <c r="S18" t="s">
        <v>63</v>
      </c>
    </row>
    <row r="19" spans="1:19" x14ac:dyDescent="0.4">
      <c r="A19" t="s">
        <v>67</v>
      </c>
      <c r="B19">
        <v>202110</v>
      </c>
      <c r="C19">
        <v>14600</v>
      </c>
      <c r="D19" t="s">
        <v>64</v>
      </c>
      <c r="E19">
        <v>0.2</v>
      </c>
      <c r="F19">
        <v>0.3</v>
      </c>
      <c r="G19">
        <v>0.2</v>
      </c>
      <c r="H19">
        <v>0.3</v>
      </c>
      <c r="I19">
        <v>0.5</v>
      </c>
      <c r="J19" t="s">
        <v>105</v>
      </c>
      <c r="K19" t="s">
        <v>125</v>
      </c>
      <c r="L19">
        <v>0</v>
      </c>
      <c r="M19">
        <v>32</v>
      </c>
      <c r="N19">
        <v>32</v>
      </c>
      <c r="O19">
        <v>2124</v>
      </c>
      <c r="P19">
        <v>0.2</v>
      </c>
      <c r="Q19">
        <v>0.7</v>
      </c>
      <c r="R19">
        <v>200</v>
      </c>
      <c r="S19">
        <v>0.2</v>
      </c>
    </row>
    <row r="20" spans="1:19" x14ac:dyDescent="0.4">
      <c r="A20" t="s">
        <v>67</v>
      </c>
      <c r="B20">
        <v>202110</v>
      </c>
      <c r="C20">
        <v>14700</v>
      </c>
      <c r="D20" t="s">
        <v>62</v>
      </c>
      <c r="E20" t="s">
        <v>63</v>
      </c>
      <c r="F20" t="s">
        <v>63</v>
      </c>
      <c r="G20" t="s">
        <v>63</v>
      </c>
      <c r="H20" t="s">
        <v>63</v>
      </c>
      <c r="I20">
        <v>2020</v>
      </c>
      <c r="J20" t="s">
        <v>68</v>
      </c>
      <c r="K20" t="s">
        <v>68</v>
      </c>
      <c r="L20">
        <v>0</v>
      </c>
      <c r="M20">
        <v>0</v>
      </c>
      <c r="N20">
        <v>0</v>
      </c>
      <c r="O20">
        <v>0</v>
      </c>
      <c r="P20">
        <v>1890</v>
      </c>
      <c r="Q20">
        <v>2170</v>
      </c>
      <c r="R20" t="s">
        <v>63</v>
      </c>
      <c r="S20" t="s">
        <v>63</v>
      </c>
    </row>
    <row r="21" spans="1:19" x14ac:dyDescent="0.4">
      <c r="A21" t="s">
        <v>67</v>
      </c>
      <c r="B21">
        <v>202110</v>
      </c>
      <c r="C21">
        <v>14700</v>
      </c>
      <c r="D21" t="s">
        <v>64</v>
      </c>
      <c r="E21">
        <v>0.5</v>
      </c>
      <c r="F21">
        <v>0.6</v>
      </c>
      <c r="G21">
        <v>0.2</v>
      </c>
      <c r="H21">
        <v>0.6</v>
      </c>
      <c r="I21">
        <v>0.6</v>
      </c>
      <c r="J21" t="s">
        <v>107</v>
      </c>
      <c r="K21" t="s">
        <v>256</v>
      </c>
      <c r="L21">
        <v>123</v>
      </c>
      <c r="M21">
        <v>73</v>
      </c>
      <c r="N21">
        <v>196</v>
      </c>
      <c r="O21">
        <v>2311</v>
      </c>
      <c r="P21">
        <v>0.3</v>
      </c>
      <c r="Q21">
        <v>0.7</v>
      </c>
      <c r="R21">
        <v>180</v>
      </c>
      <c r="S21">
        <v>0.2</v>
      </c>
    </row>
    <row r="22" spans="1:19" x14ac:dyDescent="0.4">
      <c r="A22" t="s">
        <v>67</v>
      </c>
      <c r="B22">
        <v>202110</v>
      </c>
      <c r="C22">
        <v>14800</v>
      </c>
      <c r="D22" t="s">
        <v>62</v>
      </c>
      <c r="E22" t="s">
        <v>63</v>
      </c>
      <c r="F22" t="s">
        <v>63</v>
      </c>
      <c r="G22" t="s">
        <v>63</v>
      </c>
      <c r="H22" t="s">
        <v>63</v>
      </c>
      <c r="I22">
        <v>1920</v>
      </c>
      <c r="J22" t="s">
        <v>68</v>
      </c>
      <c r="K22" t="s">
        <v>68</v>
      </c>
      <c r="L22">
        <v>0</v>
      </c>
      <c r="M22">
        <v>0</v>
      </c>
      <c r="N22">
        <v>0</v>
      </c>
      <c r="O22">
        <v>0</v>
      </c>
      <c r="P22">
        <v>1790</v>
      </c>
      <c r="Q22">
        <v>2070</v>
      </c>
      <c r="R22" t="s">
        <v>63</v>
      </c>
      <c r="S22" t="s">
        <v>63</v>
      </c>
    </row>
    <row r="23" spans="1:19" x14ac:dyDescent="0.4">
      <c r="A23" t="s">
        <v>67</v>
      </c>
      <c r="B23">
        <v>202110</v>
      </c>
      <c r="C23">
        <v>14800</v>
      </c>
      <c r="D23" t="s">
        <v>64</v>
      </c>
      <c r="E23">
        <v>0.6</v>
      </c>
      <c r="F23">
        <v>0.7</v>
      </c>
      <c r="G23">
        <v>0.2</v>
      </c>
      <c r="H23">
        <v>0.6</v>
      </c>
      <c r="I23">
        <v>0.6</v>
      </c>
      <c r="J23" t="s">
        <v>107</v>
      </c>
      <c r="K23" t="s">
        <v>256</v>
      </c>
      <c r="L23">
        <v>30</v>
      </c>
      <c r="M23">
        <v>113</v>
      </c>
      <c r="N23">
        <v>143</v>
      </c>
      <c r="O23">
        <v>1844</v>
      </c>
      <c r="P23">
        <v>0.3</v>
      </c>
      <c r="Q23">
        <v>0.7</v>
      </c>
      <c r="R23">
        <v>258</v>
      </c>
      <c r="S23">
        <v>0.2</v>
      </c>
    </row>
    <row r="24" spans="1:19" x14ac:dyDescent="0.4">
      <c r="A24" t="s">
        <v>67</v>
      </c>
      <c r="B24">
        <v>202110</v>
      </c>
      <c r="C24">
        <v>14900</v>
      </c>
      <c r="D24" t="s">
        <v>62</v>
      </c>
      <c r="E24" t="s">
        <v>63</v>
      </c>
      <c r="F24" t="s">
        <v>63</v>
      </c>
      <c r="G24" t="s">
        <v>63</v>
      </c>
      <c r="H24" t="s">
        <v>63</v>
      </c>
      <c r="I24">
        <v>1820</v>
      </c>
      <c r="J24" t="s">
        <v>68</v>
      </c>
      <c r="K24" s="28" t="s">
        <v>68</v>
      </c>
      <c r="L24">
        <v>0</v>
      </c>
      <c r="M24">
        <v>0</v>
      </c>
      <c r="N24">
        <v>0</v>
      </c>
      <c r="O24">
        <v>0</v>
      </c>
      <c r="P24">
        <v>1700</v>
      </c>
      <c r="Q24">
        <v>1970</v>
      </c>
      <c r="R24" t="s">
        <v>63</v>
      </c>
      <c r="S24" t="s">
        <v>63</v>
      </c>
    </row>
    <row r="25" spans="1:19" x14ac:dyDescent="0.4">
      <c r="A25" t="s">
        <v>67</v>
      </c>
      <c r="B25">
        <v>202110</v>
      </c>
      <c r="C25">
        <v>14900</v>
      </c>
      <c r="D25" t="s">
        <v>64</v>
      </c>
      <c r="E25">
        <v>0.6</v>
      </c>
      <c r="F25">
        <v>0.7</v>
      </c>
      <c r="G25">
        <v>0.3</v>
      </c>
      <c r="H25">
        <v>0.7</v>
      </c>
      <c r="I25">
        <v>0.7</v>
      </c>
      <c r="J25" t="s">
        <v>105</v>
      </c>
      <c r="K25" t="s">
        <v>131</v>
      </c>
      <c r="L25">
        <v>59</v>
      </c>
      <c r="M25">
        <v>245</v>
      </c>
      <c r="N25">
        <v>304</v>
      </c>
      <c r="O25">
        <v>1462</v>
      </c>
      <c r="P25">
        <v>0.2</v>
      </c>
      <c r="Q25">
        <v>0.8</v>
      </c>
      <c r="R25">
        <v>228</v>
      </c>
      <c r="S25">
        <v>0.3</v>
      </c>
    </row>
    <row r="26" spans="1:19" x14ac:dyDescent="0.4">
      <c r="A26" t="s">
        <v>67</v>
      </c>
      <c r="B26">
        <v>202110</v>
      </c>
      <c r="C26">
        <v>15000</v>
      </c>
      <c r="D26" t="s">
        <v>62</v>
      </c>
      <c r="E26" t="s">
        <v>63</v>
      </c>
      <c r="F26" t="s">
        <v>63</v>
      </c>
      <c r="G26" t="s">
        <v>63</v>
      </c>
      <c r="H26" t="s">
        <v>63</v>
      </c>
      <c r="I26">
        <v>1720</v>
      </c>
      <c r="J26" t="s">
        <v>68</v>
      </c>
      <c r="K26" t="s">
        <v>68</v>
      </c>
      <c r="L26">
        <v>0</v>
      </c>
      <c r="M26">
        <v>0</v>
      </c>
      <c r="N26">
        <v>0</v>
      </c>
      <c r="O26">
        <v>0</v>
      </c>
      <c r="P26">
        <v>1590</v>
      </c>
      <c r="Q26">
        <v>1870</v>
      </c>
      <c r="R26" t="s">
        <v>63</v>
      </c>
      <c r="S26" t="s">
        <v>63</v>
      </c>
    </row>
    <row r="27" spans="1:19" x14ac:dyDescent="0.4">
      <c r="A27" t="s">
        <v>67</v>
      </c>
      <c r="B27">
        <v>202110</v>
      </c>
      <c r="C27">
        <v>15000</v>
      </c>
      <c r="D27" t="s">
        <v>64</v>
      </c>
      <c r="E27">
        <v>0.7</v>
      </c>
      <c r="F27">
        <v>0.9</v>
      </c>
      <c r="G27">
        <v>0.3</v>
      </c>
      <c r="H27">
        <v>0.9</v>
      </c>
      <c r="I27">
        <v>0.9</v>
      </c>
      <c r="J27" t="s">
        <v>107</v>
      </c>
      <c r="K27" t="s">
        <v>342</v>
      </c>
      <c r="L27">
        <v>92</v>
      </c>
      <c r="M27">
        <v>698</v>
      </c>
      <c r="N27">
        <v>790</v>
      </c>
      <c r="O27">
        <v>11440</v>
      </c>
      <c r="P27">
        <v>0.4</v>
      </c>
      <c r="Q27">
        <v>0.9</v>
      </c>
      <c r="R27">
        <v>295</v>
      </c>
      <c r="S27">
        <v>0.3</v>
      </c>
    </row>
    <row r="28" spans="1:19" x14ac:dyDescent="0.4">
      <c r="A28" t="s">
        <v>67</v>
      </c>
      <c r="B28">
        <v>202110</v>
      </c>
      <c r="C28">
        <v>15100</v>
      </c>
      <c r="D28" t="s">
        <v>62</v>
      </c>
      <c r="E28" t="s">
        <v>63</v>
      </c>
      <c r="F28" t="s">
        <v>63</v>
      </c>
      <c r="G28" t="s">
        <v>63</v>
      </c>
      <c r="H28" t="s">
        <v>63</v>
      </c>
      <c r="I28">
        <v>1620</v>
      </c>
      <c r="J28" t="s">
        <v>68</v>
      </c>
      <c r="K28" t="s">
        <v>68</v>
      </c>
      <c r="L28">
        <v>0</v>
      </c>
      <c r="M28">
        <v>0</v>
      </c>
      <c r="N28">
        <v>0</v>
      </c>
      <c r="O28">
        <v>0</v>
      </c>
      <c r="P28">
        <v>1490</v>
      </c>
      <c r="Q28">
        <v>1770</v>
      </c>
      <c r="R28" t="s">
        <v>63</v>
      </c>
      <c r="S28" t="s">
        <v>63</v>
      </c>
    </row>
    <row r="29" spans="1:19" x14ac:dyDescent="0.4">
      <c r="A29" t="s">
        <v>67</v>
      </c>
      <c r="B29">
        <v>202110</v>
      </c>
      <c r="C29">
        <v>15100</v>
      </c>
      <c r="D29" t="s">
        <v>64</v>
      </c>
      <c r="E29">
        <v>0.8</v>
      </c>
      <c r="F29">
        <v>0.9</v>
      </c>
      <c r="G29">
        <v>0.5</v>
      </c>
      <c r="H29">
        <v>0.8</v>
      </c>
      <c r="I29">
        <v>0.9</v>
      </c>
      <c r="J29" t="s">
        <v>72</v>
      </c>
      <c r="K29" t="s">
        <v>304</v>
      </c>
      <c r="L29">
        <v>93</v>
      </c>
      <c r="M29">
        <v>149</v>
      </c>
      <c r="N29">
        <v>242</v>
      </c>
      <c r="O29">
        <v>2121</v>
      </c>
      <c r="P29">
        <v>0.3</v>
      </c>
      <c r="Q29">
        <v>0.9</v>
      </c>
      <c r="R29">
        <v>309</v>
      </c>
      <c r="S29">
        <v>0.5</v>
      </c>
    </row>
    <row r="30" spans="1:19" x14ac:dyDescent="0.4">
      <c r="A30" t="s">
        <v>67</v>
      </c>
      <c r="B30">
        <v>202110</v>
      </c>
      <c r="C30">
        <v>15200</v>
      </c>
      <c r="D30" t="s">
        <v>62</v>
      </c>
      <c r="E30" t="s">
        <v>63</v>
      </c>
      <c r="F30" t="s">
        <v>63</v>
      </c>
      <c r="G30" t="s">
        <v>63</v>
      </c>
      <c r="H30" t="s">
        <v>63</v>
      </c>
      <c r="I30">
        <v>1520</v>
      </c>
      <c r="J30" t="s">
        <v>68</v>
      </c>
      <c r="K30" t="s">
        <v>68</v>
      </c>
      <c r="L30">
        <v>0</v>
      </c>
      <c r="M30">
        <v>0</v>
      </c>
      <c r="N30">
        <v>0</v>
      </c>
      <c r="O30">
        <v>17</v>
      </c>
      <c r="P30">
        <v>1390</v>
      </c>
      <c r="Q30">
        <v>1670</v>
      </c>
      <c r="R30">
        <v>1260</v>
      </c>
      <c r="S30">
        <v>1070</v>
      </c>
    </row>
    <row r="31" spans="1:19" x14ac:dyDescent="0.4">
      <c r="A31" t="s">
        <v>67</v>
      </c>
      <c r="B31">
        <v>202110</v>
      </c>
      <c r="C31">
        <v>15200</v>
      </c>
      <c r="D31" t="s">
        <v>64</v>
      </c>
      <c r="E31">
        <v>1</v>
      </c>
      <c r="F31">
        <v>1.1000000000000001</v>
      </c>
      <c r="G31">
        <v>0.6</v>
      </c>
      <c r="H31">
        <v>1</v>
      </c>
      <c r="I31">
        <v>1</v>
      </c>
      <c r="J31" t="s">
        <v>122</v>
      </c>
      <c r="K31" t="s">
        <v>136</v>
      </c>
      <c r="L31">
        <v>50</v>
      </c>
      <c r="M31">
        <v>343</v>
      </c>
      <c r="N31">
        <v>393</v>
      </c>
      <c r="O31">
        <v>4489</v>
      </c>
      <c r="P31">
        <v>0.8</v>
      </c>
      <c r="Q31">
        <v>1.2</v>
      </c>
      <c r="R31">
        <v>253</v>
      </c>
      <c r="S31">
        <v>0.6</v>
      </c>
    </row>
    <row r="32" spans="1:19" x14ac:dyDescent="0.4">
      <c r="A32" t="s">
        <v>67</v>
      </c>
      <c r="B32">
        <v>202110</v>
      </c>
      <c r="C32">
        <v>15300</v>
      </c>
      <c r="D32" t="s">
        <v>62</v>
      </c>
      <c r="E32" t="s">
        <v>63</v>
      </c>
      <c r="F32" t="s">
        <v>63</v>
      </c>
      <c r="G32" t="s">
        <v>63</v>
      </c>
      <c r="H32" t="s">
        <v>63</v>
      </c>
      <c r="I32">
        <v>1420</v>
      </c>
      <c r="J32" t="s">
        <v>68</v>
      </c>
      <c r="K32" t="s">
        <v>68</v>
      </c>
      <c r="L32">
        <v>0</v>
      </c>
      <c r="M32">
        <v>0</v>
      </c>
      <c r="N32">
        <v>0</v>
      </c>
      <c r="O32">
        <v>0</v>
      </c>
      <c r="P32">
        <v>1290</v>
      </c>
      <c r="Q32">
        <v>1560</v>
      </c>
      <c r="R32">
        <v>1360</v>
      </c>
      <c r="S32">
        <v>1340</v>
      </c>
    </row>
    <row r="33" spans="1:19" x14ac:dyDescent="0.4">
      <c r="A33" t="s">
        <v>67</v>
      </c>
      <c r="B33">
        <v>202110</v>
      </c>
      <c r="C33">
        <v>15300</v>
      </c>
      <c r="D33" t="s">
        <v>64</v>
      </c>
      <c r="E33">
        <v>1.2</v>
      </c>
      <c r="F33">
        <v>1.2</v>
      </c>
      <c r="G33">
        <v>0.7</v>
      </c>
      <c r="H33">
        <v>1.1000000000000001</v>
      </c>
      <c r="I33">
        <v>1.1000000000000001</v>
      </c>
      <c r="J33" t="s">
        <v>120</v>
      </c>
      <c r="K33" t="s">
        <v>343</v>
      </c>
      <c r="L33">
        <v>152</v>
      </c>
      <c r="M33">
        <v>599</v>
      </c>
      <c r="N33">
        <v>751</v>
      </c>
      <c r="O33">
        <v>4431</v>
      </c>
      <c r="P33">
        <v>0.8</v>
      </c>
      <c r="Q33">
        <v>1.4</v>
      </c>
      <c r="R33">
        <v>308</v>
      </c>
      <c r="S33">
        <v>0.7</v>
      </c>
    </row>
    <row r="34" spans="1:19" x14ac:dyDescent="0.4">
      <c r="A34" t="s">
        <v>67</v>
      </c>
      <c r="B34">
        <v>202110</v>
      </c>
      <c r="C34">
        <v>15400</v>
      </c>
      <c r="D34" t="s">
        <v>62</v>
      </c>
      <c r="E34" t="s">
        <v>63</v>
      </c>
      <c r="F34" t="s">
        <v>63</v>
      </c>
      <c r="G34" t="s">
        <v>63</v>
      </c>
      <c r="H34" t="s">
        <v>63</v>
      </c>
      <c r="I34">
        <v>1320</v>
      </c>
      <c r="J34" t="s">
        <v>68</v>
      </c>
      <c r="K34" t="s">
        <v>68</v>
      </c>
      <c r="L34">
        <v>0</v>
      </c>
      <c r="M34">
        <v>0</v>
      </c>
      <c r="N34">
        <v>0</v>
      </c>
      <c r="O34">
        <v>0</v>
      </c>
      <c r="P34">
        <v>1190</v>
      </c>
      <c r="Q34">
        <v>1460</v>
      </c>
      <c r="R34">
        <v>1040</v>
      </c>
      <c r="S34">
        <v>935</v>
      </c>
    </row>
    <row r="35" spans="1:19" x14ac:dyDescent="0.4">
      <c r="A35" t="s">
        <v>67</v>
      </c>
      <c r="B35">
        <v>202110</v>
      </c>
      <c r="C35">
        <v>15400</v>
      </c>
      <c r="D35" t="s">
        <v>64</v>
      </c>
      <c r="E35">
        <v>1.9</v>
      </c>
      <c r="F35">
        <v>1.9</v>
      </c>
      <c r="G35">
        <v>0.8</v>
      </c>
      <c r="H35">
        <v>1.3</v>
      </c>
      <c r="I35">
        <v>1.3</v>
      </c>
      <c r="J35" t="s">
        <v>102</v>
      </c>
      <c r="K35" t="s">
        <v>344</v>
      </c>
      <c r="L35">
        <v>135</v>
      </c>
      <c r="M35">
        <v>420</v>
      </c>
      <c r="N35">
        <v>555</v>
      </c>
      <c r="O35">
        <v>3981</v>
      </c>
      <c r="P35">
        <v>1</v>
      </c>
      <c r="Q35">
        <v>1.6</v>
      </c>
      <c r="R35">
        <v>331</v>
      </c>
      <c r="S35">
        <v>0.8</v>
      </c>
    </row>
    <row r="36" spans="1:19" x14ac:dyDescent="0.4">
      <c r="A36" t="s">
        <v>67</v>
      </c>
      <c r="B36">
        <v>202110</v>
      </c>
      <c r="C36">
        <v>15500</v>
      </c>
      <c r="D36" t="s">
        <v>62</v>
      </c>
      <c r="E36" t="s">
        <v>63</v>
      </c>
      <c r="F36" t="s">
        <v>63</v>
      </c>
      <c r="G36" t="s">
        <v>63</v>
      </c>
      <c r="H36" t="s">
        <v>63</v>
      </c>
      <c r="I36">
        <v>1220</v>
      </c>
      <c r="J36" t="s">
        <v>68</v>
      </c>
      <c r="K36" t="s">
        <v>68</v>
      </c>
      <c r="L36">
        <v>0</v>
      </c>
      <c r="M36">
        <v>0</v>
      </c>
      <c r="N36">
        <v>0</v>
      </c>
      <c r="O36">
        <v>60</v>
      </c>
      <c r="P36">
        <v>1090</v>
      </c>
      <c r="Q36">
        <v>1360</v>
      </c>
      <c r="R36">
        <v>1400</v>
      </c>
      <c r="S36">
        <v>785</v>
      </c>
    </row>
    <row r="37" spans="1:19" x14ac:dyDescent="0.4">
      <c r="A37" t="s">
        <v>67</v>
      </c>
      <c r="B37">
        <v>202110</v>
      </c>
      <c r="C37">
        <v>15500</v>
      </c>
      <c r="D37" t="s">
        <v>64</v>
      </c>
      <c r="E37">
        <v>1.8</v>
      </c>
      <c r="F37">
        <v>1.8</v>
      </c>
      <c r="G37">
        <v>1</v>
      </c>
      <c r="H37">
        <v>1.6</v>
      </c>
      <c r="I37">
        <v>1.6</v>
      </c>
      <c r="J37" t="s">
        <v>121</v>
      </c>
      <c r="K37" t="s">
        <v>345</v>
      </c>
      <c r="L37">
        <v>257</v>
      </c>
      <c r="M37">
        <v>641</v>
      </c>
      <c r="N37">
        <v>898</v>
      </c>
      <c r="O37">
        <v>7013</v>
      </c>
      <c r="P37">
        <v>1</v>
      </c>
      <c r="Q37">
        <v>1.6</v>
      </c>
      <c r="R37">
        <v>380</v>
      </c>
      <c r="S37">
        <v>1</v>
      </c>
    </row>
    <row r="38" spans="1:19" x14ac:dyDescent="0.4">
      <c r="A38" t="s">
        <v>67</v>
      </c>
      <c r="B38">
        <v>202110</v>
      </c>
      <c r="C38">
        <v>15600</v>
      </c>
      <c r="D38" t="s">
        <v>62</v>
      </c>
      <c r="E38" t="s">
        <v>63</v>
      </c>
      <c r="F38" t="s">
        <v>63</v>
      </c>
      <c r="G38" t="s">
        <v>63</v>
      </c>
      <c r="H38" t="s">
        <v>63</v>
      </c>
      <c r="I38">
        <v>1120</v>
      </c>
      <c r="J38" t="s">
        <v>68</v>
      </c>
      <c r="K38" t="s">
        <v>68</v>
      </c>
      <c r="L38">
        <v>0</v>
      </c>
      <c r="M38">
        <v>0</v>
      </c>
      <c r="N38">
        <v>0</v>
      </c>
      <c r="O38">
        <v>44</v>
      </c>
      <c r="P38">
        <v>1110</v>
      </c>
      <c r="Q38">
        <v>1140</v>
      </c>
      <c r="R38">
        <v>1080</v>
      </c>
      <c r="S38">
        <v>715</v>
      </c>
    </row>
    <row r="39" spans="1:19" x14ac:dyDescent="0.4">
      <c r="A39" t="s">
        <v>67</v>
      </c>
      <c r="B39">
        <v>202110</v>
      </c>
      <c r="C39">
        <v>15600</v>
      </c>
      <c r="D39" t="s">
        <v>64</v>
      </c>
      <c r="E39">
        <v>1.5</v>
      </c>
      <c r="F39">
        <v>2</v>
      </c>
      <c r="G39">
        <v>1</v>
      </c>
      <c r="H39">
        <v>1.7</v>
      </c>
      <c r="I39">
        <v>1.7</v>
      </c>
      <c r="J39" t="s">
        <v>244</v>
      </c>
      <c r="K39" t="s">
        <v>346</v>
      </c>
      <c r="L39">
        <v>217</v>
      </c>
      <c r="M39">
        <v>762</v>
      </c>
      <c r="N39">
        <v>979</v>
      </c>
      <c r="O39">
        <v>4893</v>
      </c>
      <c r="P39">
        <v>1.7</v>
      </c>
      <c r="Q39">
        <v>1.8</v>
      </c>
      <c r="R39">
        <v>402</v>
      </c>
      <c r="S39">
        <v>1</v>
      </c>
    </row>
    <row r="40" spans="1:19" x14ac:dyDescent="0.4">
      <c r="A40" t="s">
        <v>67</v>
      </c>
      <c r="B40">
        <v>202110</v>
      </c>
      <c r="C40">
        <v>15700</v>
      </c>
      <c r="D40" t="s">
        <v>62</v>
      </c>
      <c r="E40" t="s">
        <v>63</v>
      </c>
      <c r="F40" t="s">
        <v>63</v>
      </c>
      <c r="G40" t="s">
        <v>63</v>
      </c>
      <c r="H40" t="s">
        <v>63</v>
      </c>
      <c r="I40">
        <v>1020</v>
      </c>
      <c r="J40" t="s">
        <v>68</v>
      </c>
      <c r="K40" t="s">
        <v>68</v>
      </c>
      <c r="L40">
        <v>0</v>
      </c>
      <c r="M40">
        <v>0</v>
      </c>
      <c r="N40">
        <v>0</v>
      </c>
      <c r="O40">
        <v>18</v>
      </c>
      <c r="P40">
        <v>885</v>
      </c>
      <c r="Q40">
        <v>1160</v>
      </c>
      <c r="R40">
        <v>1500</v>
      </c>
      <c r="S40">
        <v>660</v>
      </c>
    </row>
    <row r="41" spans="1:19" x14ac:dyDescent="0.4">
      <c r="A41" t="s">
        <v>67</v>
      </c>
      <c r="B41">
        <v>202110</v>
      </c>
      <c r="C41">
        <v>15700</v>
      </c>
      <c r="D41" t="s">
        <v>64</v>
      </c>
      <c r="E41">
        <v>2.8</v>
      </c>
      <c r="F41">
        <v>2.8</v>
      </c>
      <c r="G41">
        <v>1.2</v>
      </c>
      <c r="H41">
        <v>2</v>
      </c>
      <c r="I41">
        <v>2</v>
      </c>
      <c r="J41" t="s">
        <v>282</v>
      </c>
      <c r="K41" t="s">
        <v>106</v>
      </c>
      <c r="L41">
        <v>273</v>
      </c>
      <c r="M41">
        <v>1082</v>
      </c>
      <c r="N41">
        <v>1355</v>
      </c>
      <c r="O41">
        <v>4724</v>
      </c>
      <c r="P41">
        <v>1.5</v>
      </c>
      <c r="Q41">
        <v>2.1</v>
      </c>
      <c r="R41">
        <v>448</v>
      </c>
      <c r="S41">
        <v>1.2</v>
      </c>
    </row>
    <row r="42" spans="1:19" x14ac:dyDescent="0.4">
      <c r="A42" t="s">
        <v>67</v>
      </c>
      <c r="B42">
        <v>202110</v>
      </c>
      <c r="C42">
        <v>15800</v>
      </c>
      <c r="D42" t="s">
        <v>62</v>
      </c>
      <c r="E42" t="s">
        <v>63</v>
      </c>
      <c r="F42" t="s">
        <v>63</v>
      </c>
      <c r="G42" t="s">
        <v>63</v>
      </c>
      <c r="H42" t="s">
        <v>63</v>
      </c>
      <c r="I42">
        <v>920</v>
      </c>
      <c r="J42" t="s">
        <v>68</v>
      </c>
      <c r="K42" t="s">
        <v>68</v>
      </c>
      <c r="L42">
        <v>0</v>
      </c>
      <c r="M42">
        <v>0</v>
      </c>
      <c r="N42">
        <v>0</v>
      </c>
      <c r="O42">
        <v>179</v>
      </c>
      <c r="P42">
        <v>905</v>
      </c>
      <c r="Q42">
        <v>1060</v>
      </c>
      <c r="R42">
        <v>1660</v>
      </c>
      <c r="S42">
        <v>545</v>
      </c>
    </row>
    <row r="43" spans="1:19" x14ac:dyDescent="0.4">
      <c r="A43" t="s">
        <v>67</v>
      </c>
      <c r="B43">
        <v>202110</v>
      </c>
      <c r="C43">
        <v>15800</v>
      </c>
      <c r="D43" t="s">
        <v>64</v>
      </c>
      <c r="E43">
        <v>1</v>
      </c>
      <c r="F43">
        <v>2.7</v>
      </c>
      <c r="G43">
        <v>1</v>
      </c>
      <c r="H43">
        <v>1.5</v>
      </c>
      <c r="I43">
        <v>2</v>
      </c>
      <c r="J43" t="s">
        <v>111</v>
      </c>
      <c r="K43" t="s">
        <v>341</v>
      </c>
      <c r="L43">
        <v>434</v>
      </c>
      <c r="M43">
        <v>1212</v>
      </c>
      <c r="N43">
        <v>1646</v>
      </c>
      <c r="O43">
        <v>8578</v>
      </c>
      <c r="P43">
        <v>1.5</v>
      </c>
      <c r="Q43">
        <v>2.8</v>
      </c>
      <c r="R43">
        <v>487</v>
      </c>
      <c r="S43">
        <v>1</v>
      </c>
    </row>
    <row r="44" spans="1:19" x14ac:dyDescent="0.4">
      <c r="A44" t="s">
        <v>67</v>
      </c>
      <c r="B44">
        <v>202110</v>
      </c>
      <c r="C44">
        <v>15900</v>
      </c>
      <c r="D44" t="s">
        <v>62</v>
      </c>
      <c r="E44" t="s">
        <v>63</v>
      </c>
      <c r="F44" t="s">
        <v>63</v>
      </c>
      <c r="G44" t="s">
        <v>63</v>
      </c>
      <c r="H44" t="s">
        <v>63</v>
      </c>
      <c r="I44">
        <v>820</v>
      </c>
      <c r="J44" t="s">
        <v>68</v>
      </c>
      <c r="K44" t="s">
        <v>68</v>
      </c>
      <c r="L44">
        <v>0</v>
      </c>
      <c r="M44">
        <v>0</v>
      </c>
      <c r="N44">
        <v>0</v>
      </c>
      <c r="O44">
        <v>92</v>
      </c>
      <c r="P44">
        <v>805</v>
      </c>
      <c r="Q44">
        <v>840</v>
      </c>
      <c r="R44">
        <v>1060</v>
      </c>
      <c r="S44">
        <v>463</v>
      </c>
    </row>
    <row r="45" spans="1:19" x14ac:dyDescent="0.4">
      <c r="A45" t="s">
        <v>67</v>
      </c>
      <c r="B45">
        <v>202110</v>
      </c>
      <c r="C45">
        <v>15900</v>
      </c>
      <c r="D45" t="s">
        <v>64</v>
      </c>
      <c r="E45">
        <v>3</v>
      </c>
      <c r="F45">
        <v>3.2</v>
      </c>
      <c r="G45">
        <v>1.8</v>
      </c>
      <c r="H45">
        <v>2.1</v>
      </c>
      <c r="I45">
        <v>2.1</v>
      </c>
      <c r="J45" t="s">
        <v>263</v>
      </c>
      <c r="K45" t="s">
        <v>347</v>
      </c>
      <c r="L45">
        <v>609</v>
      </c>
      <c r="M45">
        <v>1489</v>
      </c>
      <c r="N45">
        <v>2098</v>
      </c>
      <c r="O45">
        <v>8110</v>
      </c>
      <c r="P45">
        <v>2.1</v>
      </c>
      <c r="Q45">
        <v>3</v>
      </c>
      <c r="R45">
        <v>450</v>
      </c>
      <c r="S45">
        <v>1.8</v>
      </c>
    </row>
    <row r="46" spans="1:19" x14ac:dyDescent="0.4">
      <c r="A46" t="s">
        <v>67</v>
      </c>
      <c r="B46">
        <v>202110</v>
      </c>
      <c r="C46">
        <v>15950</v>
      </c>
      <c r="D46" t="s">
        <v>62</v>
      </c>
      <c r="E46" t="s">
        <v>63</v>
      </c>
      <c r="F46" t="s">
        <v>63</v>
      </c>
      <c r="G46" t="s">
        <v>63</v>
      </c>
      <c r="H46" t="s">
        <v>63</v>
      </c>
      <c r="I46">
        <v>770</v>
      </c>
      <c r="J46" t="s">
        <v>68</v>
      </c>
      <c r="K46" t="s">
        <v>68</v>
      </c>
      <c r="L46">
        <v>0</v>
      </c>
      <c r="M46">
        <v>0</v>
      </c>
      <c r="N46">
        <v>0</v>
      </c>
      <c r="O46">
        <v>1</v>
      </c>
      <c r="P46">
        <v>755</v>
      </c>
      <c r="Q46">
        <v>790</v>
      </c>
      <c r="R46">
        <v>620</v>
      </c>
      <c r="S46">
        <v>485</v>
      </c>
    </row>
    <row r="47" spans="1:19" x14ac:dyDescent="0.4">
      <c r="A47" t="s">
        <v>67</v>
      </c>
      <c r="B47">
        <v>202110</v>
      </c>
      <c r="C47">
        <v>15950</v>
      </c>
      <c r="D47" t="s">
        <v>64</v>
      </c>
      <c r="E47">
        <v>2.9</v>
      </c>
      <c r="F47">
        <v>3.3</v>
      </c>
      <c r="G47">
        <v>2</v>
      </c>
      <c r="H47">
        <v>2.8</v>
      </c>
      <c r="I47">
        <v>2.8</v>
      </c>
      <c r="J47" t="s">
        <v>100</v>
      </c>
      <c r="K47" t="s">
        <v>348</v>
      </c>
      <c r="L47">
        <v>235</v>
      </c>
      <c r="M47">
        <v>3502</v>
      </c>
      <c r="N47">
        <v>3737</v>
      </c>
      <c r="O47">
        <v>2298</v>
      </c>
      <c r="P47">
        <v>1.5</v>
      </c>
      <c r="Q47">
        <v>3.2</v>
      </c>
      <c r="R47">
        <v>58</v>
      </c>
      <c r="S47">
        <v>2</v>
      </c>
    </row>
    <row r="48" spans="1:19" x14ac:dyDescent="0.4">
      <c r="A48" t="s">
        <v>67</v>
      </c>
      <c r="B48">
        <v>202110</v>
      </c>
      <c r="C48">
        <v>16000</v>
      </c>
      <c r="D48" t="s">
        <v>62</v>
      </c>
      <c r="E48">
        <v>835</v>
      </c>
      <c r="F48">
        <v>835</v>
      </c>
      <c r="G48">
        <v>720</v>
      </c>
      <c r="H48">
        <v>720</v>
      </c>
      <c r="I48">
        <v>720</v>
      </c>
      <c r="J48" t="s">
        <v>220</v>
      </c>
      <c r="K48" t="s">
        <v>272</v>
      </c>
      <c r="L48">
        <v>10</v>
      </c>
      <c r="M48">
        <v>6</v>
      </c>
      <c r="N48">
        <v>16</v>
      </c>
      <c r="O48">
        <v>236</v>
      </c>
      <c r="P48">
        <v>715</v>
      </c>
      <c r="Q48">
        <v>740</v>
      </c>
      <c r="R48">
        <v>1460</v>
      </c>
      <c r="S48">
        <v>382</v>
      </c>
    </row>
    <row r="49" spans="1:19" x14ac:dyDescent="0.4">
      <c r="A49" t="s">
        <v>67</v>
      </c>
      <c r="B49">
        <v>202110</v>
      </c>
      <c r="C49">
        <v>16000</v>
      </c>
      <c r="D49" t="s">
        <v>64</v>
      </c>
      <c r="E49">
        <v>3.3</v>
      </c>
      <c r="F49">
        <v>3.8</v>
      </c>
      <c r="G49">
        <v>2.1</v>
      </c>
      <c r="H49">
        <v>3.6</v>
      </c>
      <c r="I49">
        <v>3.6</v>
      </c>
      <c r="J49" t="s">
        <v>100</v>
      </c>
      <c r="K49" t="s">
        <v>349</v>
      </c>
      <c r="L49">
        <v>1616</v>
      </c>
      <c r="M49">
        <v>2804</v>
      </c>
      <c r="N49">
        <v>4420</v>
      </c>
      <c r="O49">
        <v>14773</v>
      </c>
      <c r="P49">
        <v>2.6</v>
      </c>
      <c r="Q49">
        <v>3.7</v>
      </c>
      <c r="R49">
        <v>530</v>
      </c>
      <c r="S49">
        <v>2.1</v>
      </c>
    </row>
    <row r="50" spans="1:19" x14ac:dyDescent="0.4">
      <c r="A50" t="s">
        <v>67</v>
      </c>
      <c r="B50">
        <v>202110</v>
      </c>
      <c r="C50">
        <v>16050</v>
      </c>
      <c r="D50" t="s">
        <v>62</v>
      </c>
      <c r="E50" t="s">
        <v>63</v>
      </c>
      <c r="F50" t="s">
        <v>63</v>
      </c>
      <c r="G50" t="s">
        <v>63</v>
      </c>
      <c r="H50" t="s">
        <v>63</v>
      </c>
      <c r="I50">
        <v>670</v>
      </c>
      <c r="J50" t="s">
        <v>68</v>
      </c>
      <c r="K50" t="s">
        <v>68</v>
      </c>
      <c r="L50">
        <v>0</v>
      </c>
      <c r="M50">
        <v>0</v>
      </c>
      <c r="N50">
        <v>0</v>
      </c>
      <c r="O50">
        <v>14</v>
      </c>
      <c r="P50">
        <v>655</v>
      </c>
      <c r="Q50">
        <v>815</v>
      </c>
      <c r="R50">
        <v>745</v>
      </c>
      <c r="S50">
        <v>347</v>
      </c>
    </row>
    <row r="51" spans="1:19" x14ac:dyDescent="0.4">
      <c r="A51" t="s">
        <v>67</v>
      </c>
      <c r="B51">
        <v>202110</v>
      </c>
      <c r="C51">
        <v>16050</v>
      </c>
      <c r="D51" t="s">
        <v>64</v>
      </c>
      <c r="E51">
        <v>3.9</v>
      </c>
      <c r="F51">
        <v>4.0999999999999996</v>
      </c>
      <c r="G51">
        <v>2.2999999999999998</v>
      </c>
      <c r="H51">
        <v>3.8</v>
      </c>
      <c r="I51">
        <v>3.8</v>
      </c>
      <c r="J51" t="s">
        <v>264</v>
      </c>
      <c r="K51" t="s">
        <v>350</v>
      </c>
      <c r="L51">
        <v>440</v>
      </c>
      <c r="M51">
        <v>1710</v>
      </c>
      <c r="N51">
        <v>2150</v>
      </c>
      <c r="O51">
        <v>2700</v>
      </c>
      <c r="P51">
        <v>2.9</v>
      </c>
      <c r="Q51">
        <v>4.2</v>
      </c>
      <c r="R51">
        <v>134</v>
      </c>
      <c r="S51">
        <v>2.2999999999999998</v>
      </c>
    </row>
    <row r="52" spans="1:19" x14ac:dyDescent="0.4">
      <c r="A52" t="s">
        <v>67</v>
      </c>
      <c r="B52">
        <v>202110</v>
      </c>
      <c r="C52">
        <v>16100</v>
      </c>
      <c r="D52" t="s">
        <v>62</v>
      </c>
      <c r="E52">
        <v>700</v>
      </c>
      <c r="F52">
        <v>700</v>
      </c>
      <c r="G52">
        <v>615</v>
      </c>
      <c r="H52">
        <v>620</v>
      </c>
      <c r="I52">
        <v>620</v>
      </c>
      <c r="J52" t="s">
        <v>220</v>
      </c>
      <c r="K52" t="s">
        <v>351</v>
      </c>
      <c r="L52">
        <v>2</v>
      </c>
      <c r="M52">
        <v>116</v>
      </c>
      <c r="N52">
        <v>118</v>
      </c>
      <c r="O52">
        <v>218</v>
      </c>
      <c r="P52">
        <v>610</v>
      </c>
      <c r="Q52">
        <v>765</v>
      </c>
      <c r="R52">
        <v>1340</v>
      </c>
      <c r="S52">
        <v>311</v>
      </c>
    </row>
    <row r="53" spans="1:19" x14ac:dyDescent="0.4">
      <c r="A53" t="s">
        <v>67</v>
      </c>
      <c r="B53">
        <v>202110</v>
      </c>
      <c r="C53">
        <v>16100</v>
      </c>
      <c r="D53" t="s">
        <v>64</v>
      </c>
      <c r="E53">
        <v>4.5999999999999996</v>
      </c>
      <c r="F53">
        <v>4.5999999999999996</v>
      </c>
      <c r="G53">
        <v>2.7</v>
      </c>
      <c r="H53">
        <v>4.5</v>
      </c>
      <c r="I53">
        <v>4.5</v>
      </c>
      <c r="J53" t="s">
        <v>225</v>
      </c>
      <c r="K53" t="s">
        <v>245</v>
      </c>
      <c r="L53">
        <v>853</v>
      </c>
      <c r="M53">
        <v>4114</v>
      </c>
      <c r="N53">
        <v>4967</v>
      </c>
      <c r="O53">
        <v>7661</v>
      </c>
      <c r="P53">
        <v>4.3</v>
      </c>
      <c r="Q53">
        <v>4.5</v>
      </c>
      <c r="R53">
        <v>590</v>
      </c>
      <c r="S53">
        <v>2.7</v>
      </c>
    </row>
    <row r="54" spans="1:19" x14ac:dyDescent="0.4">
      <c r="A54" t="s">
        <v>67</v>
      </c>
      <c r="B54">
        <v>202110</v>
      </c>
      <c r="C54">
        <v>16150</v>
      </c>
      <c r="D54" t="s">
        <v>62</v>
      </c>
      <c r="E54" t="s">
        <v>63</v>
      </c>
      <c r="F54" t="s">
        <v>63</v>
      </c>
      <c r="G54" t="s">
        <v>63</v>
      </c>
      <c r="H54" t="s">
        <v>63</v>
      </c>
      <c r="I54">
        <v>575</v>
      </c>
      <c r="J54" t="s">
        <v>68</v>
      </c>
      <c r="K54" t="s">
        <v>68</v>
      </c>
      <c r="L54">
        <v>0</v>
      </c>
      <c r="M54">
        <v>0</v>
      </c>
      <c r="N54">
        <v>0</v>
      </c>
      <c r="O54">
        <v>59</v>
      </c>
      <c r="P54">
        <v>464</v>
      </c>
      <c r="Q54">
        <v>715</v>
      </c>
      <c r="R54">
        <v>635</v>
      </c>
      <c r="S54">
        <v>278</v>
      </c>
    </row>
    <row r="55" spans="1:19" x14ac:dyDescent="0.4">
      <c r="A55" t="s">
        <v>67</v>
      </c>
      <c r="B55">
        <v>202110</v>
      </c>
      <c r="C55">
        <v>16150</v>
      </c>
      <c r="D55" t="s">
        <v>64</v>
      </c>
      <c r="E55">
        <v>5</v>
      </c>
      <c r="F55">
        <v>5.3</v>
      </c>
      <c r="G55">
        <v>3.1</v>
      </c>
      <c r="H55">
        <v>5</v>
      </c>
      <c r="I55">
        <v>5</v>
      </c>
      <c r="J55" t="s">
        <v>267</v>
      </c>
      <c r="K55" t="s">
        <v>352</v>
      </c>
      <c r="L55">
        <v>626</v>
      </c>
      <c r="M55">
        <v>1900</v>
      </c>
      <c r="N55">
        <v>2526</v>
      </c>
      <c r="O55">
        <v>2820</v>
      </c>
      <c r="P55">
        <v>3.8</v>
      </c>
      <c r="Q55">
        <v>5.0999999999999996</v>
      </c>
      <c r="R55">
        <v>165</v>
      </c>
      <c r="S55">
        <v>3.1</v>
      </c>
    </row>
    <row r="56" spans="1:19" x14ac:dyDescent="0.4">
      <c r="A56" t="s">
        <v>67</v>
      </c>
      <c r="B56">
        <v>202110</v>
      </c>
      <c r="C56">
        <v>16200</v>
      </c>
      <c r="D56" t="s">
        <v>62</v>
      </c>
      <c r="E56">
        <v>655</v>
      </c>
      <c r="F56">
        <v>655</v>
      </c>
      <c r="G56">
        <v>530</v>
      </c>
      <c r="H56">
        <v>530</v>
      </c>
      <c r="I56">
        <v>530</v>
      </c>
      <c r="J56" t="s">
        <v>216</v>
      </c>
      <c r="K56" t="s">
        <v>353</v>
      </c>
      <c r="L56">
        <v>14</v>
      </c>
      <c r="M56">
        <v>4</v>
      </c>
      <c r="N56">
        <v>18</v>
      </c>
      <c r="O56">
        <v>646</v>
      </c>
      <c r="P56">
        <v>510</v>
      </c>
      <c r="Q56">
        <v>535</v>
      </c>
      <c r="R56">
        <v>1360</v>
      </c>
      <c r="S56">
        <v>245</v>
      </c>
    </row>
    <row r="57" spans="1:19" x14ac:dyDescent="0.4">
      <c r="A57" t="s">
        <v>67</v>
      </c>
      <c r="B57">
        <v>202110</v>
      </c>
      <c r="C57">
        <v>16200</v>
      </c>
      <c r="D57" t="s">
        <v>64</v>
      </c>
      <c r="E57">
        <v>6.3</v>
      </c>
      <c r="F57">
        <v>7.6</v>
      </c>
      <c r="G57">
        <v>3.5</v>
      </c>
      <c r="H57">
        <v>6.2</v>
      </c>
      <c r="I57">
        <v>6.2</v>
      </c>
      <c r="J57" t="s">
        <v>354</v>
      </c>
      <c r="K57" t="s">
        <v>355</v>
      </c>
      <c r="L57">
        <v>1808</v>
      </c>
      <c r="M57">
        <v>5820</v>
      </c>
      <c r="N57">
        <v>7628</v>
      </c>
      <c r="O57">
        <v>8805</v>
      </c>
      <c r="P57">
        <v>6.2</v>
      </c>
      <c r="Q57">
        <v>6.3</v>
      </c>
      <c r="R57">
        <v>600</v>
      </c>
      <c r="S57">
        <v>3.5</v>
      </c>
    </row>
    <row r="58" spans="1:19" x14ac:dyDescent="0.4">
      <c r="A58" t="s">
        <v>67</v>
      </c>
      <c r="B58">
        <v>202110</v>
      </c>
      <c r="C58">
        <v>16250</v>
      </c>
      <c r="D58" t="s">
        <v>62</v>
      </c>
      <c r="E58">
        <v>585</v>
      </c>
      <c r="F58">
        <v>585</v>
      </c>
      <c r="G58">
        <v>481</v>
      </c>
      <c r="H58">
        <v>481</v>
      </c>
      <c r="I58">
        <v>480</v>
      </c>
      <c r="J58" t="s">
        <v>314</v>
      </c>
      <c r="K58" s="28" t="s">
        <v>356</v>
      </c>
      <c r="L58">
        <v>2</v>
      </c>
      <c r="M58">
        <v>6</v>
      </c>
      <c r="N58">
        <v>8</v>
      </c>
      <c r="O58">
        <v>114</v>
      </c>
      <c r="P58">
        <v>471</v>
      </c>
      <c r="Q58">
        <v>485</v>
      </c>
      <c r="R58">
        <v>595</v>
      </c>
      <c r="S58">
        <v>213</v>
      </c>
    </row>
    <row r="59" spans="1:19" x14ac:dyDescent="0.4">
      <c r="A59" t="s">
        <v>67</v>
      </c>
      <c r="B59">
        <v>202110</v>
      </c>
      <c r="C59">
        <v>16250</v>
      </c>
      <c r="D59" t="s">
        <v>64</v>
      </c>
      <c r="E59">
        <v>7.2</v>
      </c>
      <c r="F59">
        <v>7.8</v>
      </c>
      <c r="G59">
        <v>4.3</v>
      </c>
      <c r="H59">
        <v>7.5</v>
      </c>
      <c r="I59">
        <v>7.5</v>
      </c>
      <c r="J59" t="s">
        <v>77</v>
      </c>
      <c r="K59" t="s">
        <v>256</v>
      </c>
      <c r="L59">
        <v>1068</v>
      </c>
      <c r="M59">
        <v>2641</v>
      </c>
      <c r="N59">
        <v>3709</v>
      </c>
      <c r="O59">
        <v>3182</v>
      </c>
      <c r="P59">
        <v>7.2</v>
      </c>
      <c r="Q59">
        <v>7.7</v>
      </c>
      <c r="R59">
        <v>204</v>
      </c>
      <c r="S59">
        <v>4.3</v>
      </c>
    </row>
    <row r="60" spans="1:19" x14ac:dyDescent="0.4">
      <c r="A60" t="s">
        <v>67</v>
      </c>
      <c r="B60">
        <v>202110</v>
      </c>
      <c r="C60">
        <v>16300</v>
      </c>
      <c r="D60" t="s">
        <v>62</v>
      </c>
      <c r="E60">
        <v>505</v>
      </c>
      <c r="F60">
        <v>605</v>
      </c>
      <c r="G60">
        <v>430</v>
      </c>
      <c r="H60">
        <v>430</v>
      </c>
      <c r="I60">
        <v>430</v>
      </c>
      <c r="J60" t="s">
        <v>357</v>
      </c>
      <c r="K60" t="s">
        <v>325</v>
      </c>
      <c r="L60">
        <v>64</v>
      </c>
      <c r="M60">
        <v>107</v>
      </c>
      <c r="N60">
        <v>171</v>
      </c>
      <c r="O60">
        <v>1573</v>
      </c>
      <c r="P60">
        <v>421</v>
      </c>
      <c r="Q60">
        <v>442</v>
      </c>
      <c r="R60">
        <v>1160</v>
      </c>
      <c r="S60">
        <v>184</v>
      </c>
    </row>
    <row r="61" spans="1:19" x14ac:dyDescent="0.4">
      <c r="A61" t="s">
        <v>67</v>
      </c>
      <c r="B61">
        <v>202110</v>
      </c>
      <c r="C61">
        <v>16300</v>
      </c>
      <c r="D61" t="s">
        <v>64</v>
      </c>
      <c r="E61">
        <v>9.5</v>
      </c>
      <c r="F61">
        <v>9.8000000000000007</v>
      </c>
      <c r="G61">
        <v>5</v>
      </c>
      <c r="H61">
        <v>9.3000000000000007</v>
      </c>
      <c r="I61">
        <v>9.3000000000000007</v>
      </c>
      <c r="J61" t="s">
        <v>358</v>
      </c>
      <c r="K61" t="s">
        <v>256</v>
      </c>
      <c r="L61">
        <v>3423</v>
      </c>
      <c r="M61">
        <v>9983</v>
      </c>
      <c r="N61">
        <v>13406</v>
      </c>
      <c r="O61">
        <v>9436</v>
      </c>
      <c r="P61">
        <v>9.1999999999999993</v>
      </c>
      <c r="Q61">
        <v>9.5</v>
      </c>
      <c r="R61">
        <v>680</v>
      </c>
      <c r="S61">
        <v>5</v>
      </c>
    </row>
    <row r="62" spans="1:19" x14ac:dyDescent="0.4">
      <c r="A62" t="s">
        <v>67</v>
      </c>
      <c r="B62">
        <v>202110</v>
      </c>
      <c r="C62">
        <v>16350</v>
      </c>
      <c r="D62" t="s">
        <v>62</v>
      </c>
      <c r="E62">
        <v>464</v>
      </c>
      <c r="F62">
        <v>515</v>
      </c>
      <c r="G62">
        <v>372</v>
      </c>
      <c r="H62">
        <v>382</v>
      </c>
      <c r="I62">
        <v>382</v>
      </c>
      <c r="J62" t="s">
        <v>357</v>
      </c>
      <c r="K62" t="s">
        <v>359</v>
      </c>
      <c r="L62">
        <v>60</v>
      </c>
      <c r="M62">
        <v>25</v>
      </c>
      <c r="N62">
        <v>85</v>
      </c>
      <c r="O62">
        <v>499</v>
      </c>
      <c r="P62">
        <v>351</v>
      </c>
      <c r="Q62">
        <v>395</v>
      </c>
      <c r="R62">
        <v>600</v>
      </c>
      <c r="S62">
        <v>155</v>
      </c>
    </row>
    <row r="63" spans="1:19" x14ac:dyDescent="0.4">
      <c r="A63" t="s">
        <v>67</v>
      </c>
      <c r="B63">
        <v>202110</v>
      </c>
      <c r="C63">
        <v>16350</v>
      </c>
      <c r="D63" t="s">
        <v>64</v>
      </c>
      <c r="E63">
        <v>11.5</v>
      </c>
      <c r="F63">
        <v>12.5</v>
      </c>
      <c r="G63">
        <v>6.4</v>
      </c>
      <c r="H63">
        <v>11.5</v>
      </c>
      <c r="I63">
        <v>11.5</v>
      </c>
      <c r="J63" t="s">
        <v>360</v>
      </c>
      <c r="K63" t="s">
        <v>361</v>
      </c>
      <c r="L63">
        <v>1814</v>
      </c>
      <c r="M63">
        <v>5644</v>
      </c>
      <c r="N63">
        <v>7458</v>
      </c>
      <c r="O63">
        <v>3989</v>
      </c>
      <c r="P63">
        <v>11.5</v>
      </c>
      <c r="Q63">
        <v>12</v>
      </c>
      <c r="R63">
        <v>248</v>
      </c>
      <c r="S63">
        <v>6.4</v>
      </c>
    </row>
    <row r="64" spans="1:19" x14ac:dyDescent="0.4">
      <c r="A64" t="s">
        <v>67</v>
      </c>
      <c r="B64">
        <v>202110</v>
      </c>
      <c r="C64">
        <v>16400</v>
      </c>
      <c r="D64" t="s">
        <v>62</v>
      </c>
      <c r="E64">
        <v>428</v>
      </c>
      <c r="F64">
        <v>475</v>
      </c>
      <c r="G64">
        <v>328</v>
      </c>
      <c r="H64">
        <v>338</v>
      </c>
      <c r="I64">
        <v>338</v>
      </c>
      <c r="J64" t="s">
        <v>357</v>
      </c>
      <c r="K64" t="s">
        <v>362</v>
      </c>
      <c r="L64">
        <v>285</v>
      </c>
      <c r="M64">
        <v>327</v>
      </c>
      <c r="N64">
        <v>612</v>
      </c>
      <c r="O64">
        <v>4688</v>
      </c>
      <c r="P64">
        <v>315</v>
      </c>
      <c r="Q64">
        <v>347</v>
      </c>
      <c r="R64">
        <v>1110</v>
      </c>
      <c r="S64">
        <v>128</v>
      </c>
    </row>
    <row r="65" spans="1:19" x14ac:dyDescent="0.4">
      <c r="A65" t="s">
        <v>67</v>
      </c>
      <c r="B65">
        <v>202110</v>
      </c>
      <c r="C65">
        <v>16400</v>
      </c>
      <c r="D65" t="s">
        <v>64</v>
      </c>
      <c r="E65">
        <v>19.5</v>
      </c>
      <c r="F65">
        <v>20</v>
      </c>
      <c r="G65">
        <v>8.6999999999999993</v>
      </c>
      <c r="H65">
        <v>15.5</v>
      </c>
      <c r="I65">
        <v>15.5</v>
      </c>
      <c r="J65" t="s">
        <v>94</v>
      </c>
      <c r="K65" t="s">
        <v>363</v>
      </c>
      <c r="L65">
        <v>4382</v>
      </c>
      <c r="M65">
        <v>14373</v>
      </c>
      <c r="N65">
        <v>18755</v>
      </c>
      <c r="O65">
        <v>16830</v>
      </c>
      <c r="P65">
        <v>15</v>
      </c>
      <c r="Q65">
        <v>15.5</v>
      </c>
      <c r="R65">
        <v>790</v>
      </c>
      <c r="S65">
        <v>8.6999999999999993</v>
      </c>
    </row>
    <row r="66" spans="1:19" x14ac:dyDescent="0.4">
      <c r="A66" t="s">
        <v>67</v>
      </c>
      <c r="B66">
        <v>202110</v>
      </c>
      <c r="C66">
        <v>16450</v>
      </c>
      <c r="D66" t="s">
        <v>62</v>
      </c>
      <c r="E66">
        <v>380</v>
      </c>
      <c r="F66">
        <v>425</v>
      </c>
      <c r="G66">
        <v>282</v>
      </c>
      <c r="H66">
        <v>289</v>
      </c>
      <c r="I66">
        <v>289</v>
      </c>
      <c r="J66" t="s">
        <v>227</v>
      </c>
      <c r="K66" t="s">
        <v>364</v>
      </c>
      <c r="L66">
        <v>185</v>
      </c>
      <c r="M66">
        <v>125</v>
      </c>
      <c r="N66">
        <v>310</v>
      </c>
      <c r="O66">
        <v>1024</v>
      </c>
      <c r="P66">
        <v>287</v>
      </c>
      <c r="Q66">
        <v>303</v>
      </c>
      <c r="R66">
        <v>425</v>
      </c>
      <c r="S66">
        <v>113</v>
      </c>
    </row>
    <row r="67" spans="1:19" x14ac:dyDescent="0.4">
      <c r="A67" t="s">
        <v>67</v>
      </c>
      <c r="B67">
        <v>202110</v>
      </c>
      <c r="C67">
        <v>16450</v>
      </c>
      <c r="D67" t="s">
        <v>64</v>
      </c>
      <c r="E67">
        <v>18</v>
      </c>
      <c r="F67">
        <v>22</v>
      </c>
      <c r="G67">
        <v>11</v>
      </c>
      <c r="H67">
        <v>19.5</v>
      </c>
      <c r="I67">
        <v>19.5</v>
      </c>
      <c r="J67" t="s">
        <v>139</v>
      </c>
      <c r="K67" t="s">
        <v>365</v>
      </c>
      <c r="L67">
        <v>2176</v>
      </c>
      <c r="M67">
        <v>8624</v>
      </c>
      <c r="N67">
        <v>10800</v>
      </c>
      <c r="O67">
        <v>5194</v>
      </c>
      <c r="P67">
        <v>19</v>
      </c>
      <c r="Q67">
        <v>20</v>
      </c>
      <c r="R67">
        <v>302</v>
      </c>
      <c r="S67">
        <v>11</v>
      </c>
    </row>
    <row r="68" spans="1:19" x14ac:dyDescent="0.4">
      <c r="A68" t="s">
        <v>67</v>
      </c>
      <c r="B68">
        <v>202110</v>
      </c>
      <c r="C68">
        <v>16500</v>
      </c>
      <c r="D68" t="s">
        <v>62</v>
      </c>
      <c r="E68">
        <v>330</v>
      </c>
      <c r="F68">
        <v>380</v>
      </c>
      <c r="G68">
        <v>236</v>
      </c>
      <c r="H68">
        <v>245</v>
      </c>
      <c r="I68">
        <v>245</v>
      </c>
      <c r="J68" t="s">
        <v>366</v>
      </c>
      <c r="K68" t="s">
        <v>367</v>
      </c>
      <c r="L68">
        <v>438</v>
      </c>
      <c r="M68">
        <v>1386</v>
      </c>
      <c r="N68">
        <v>1824</v>
      </c>
      <c r="O68">
        <v>4420</v>
      </c>
      <c r="P68">
        <v>245</v>
      </c>
      <c r="Q68">
        <v>257</v>
      </c>
      <c r="R68">
        <v>1090</v>
      </c>
      <c r="S68">
        <v>93</v>
      </c>
    </row>
    <row r="69" spans="1:19" x14ac:dyDescent="0.4">
      <c r="A69" t="s">
        <v>67</v>
      </c>
      <c r="B69">
        <v>202110</v>
      </c>
      <c r="C69">
        <v>16500</v>
      </c>
      <c r="D69" t="s">
        <v>64</v>
      </c>
      <c r="E69">
        <v>23.5</v>
      </c>
      <c r="F69">
        <v>29</v>
      </c>
      <c r="G69">
        <v>14</v>
      </c>
      <c r="H69">
        <v>26.5</v>
      </c>
      <c r="I69">
        <v>26.5</v>
      </c>
      <c r="J69" t="s">
        <v>214</v>
      </c>
      <c r="K69" t="s">
        <v>368</v>
      </c>
      <c r="L69">
        <v>4989</v>
      </c>
      <c r="M69">
        <v>15476</v>
      </c>
      <c r="N69">
        <v>20465</v>
      </c>
      <c r="O69">
        <v>11974</v>
      </c>
      <c r="P69">
        <v>26</v>
      </c>
      <c r="Q69">
        <v>26.5</v>
      </c>
      <c r="R69">
        <v>845</v>
      </c>
      <c r="S69">
        <v>14</v>
      </c>
    </row>
    <row r="70" spans="1:19" x14ac:dyDescent="0.4">
      <c r="A70" t="s">
        <v>67</v>
      </c>
      <c r="B70">
        <v>202110</v>
      </c>
      <c r="C70">
        <v>16550</v>
      </c>
      <c r="D70" t="s">
        <v>62</v>
      </c>
      <c r="E70">
        <v>290</v>
      </c>
      <c r="F70">
        <v>332</v>
      </c>
      <c r="G70">
        <v>195</v>
      </c>
      <c r="H70">
        <v>201</v>
      </c>
      <c r="I70">
        <v>201</v>
      </c>
      <c r="J70" t="s">
        <v>369</v>
      </c>
      <c r="K70" t="s">
        <v>370</v>
      </c>
      <c r="L70">
        <v>380</v>
      </c>
      <c r="M70">
        <v>603</v>
      </c>
      <c r="N70">
        <v>983</v>
      </c>
      <c r="O70">
        <v>1406</v>
      </c>
      <c r="P70">
        <v>201</v>
      </c>
      <c r="Q70">
        <v>215</v>
      </c>
      <c r="R70">
        <v>332</v>
      </c>
      <c r="S70">
        <v>76</v>
      </c>
    </row>
    <row r="71" spans="1:19" x14ac:dyDescent="0.4">
      <c r="A71" t="s">
        <v>67</v>
      </c>
      <c r="B71">
        <v>202110</v>
      </c>
      <c r="C71">
        <v>16550</v>
      </c>
      <c r="D71" t="s">
        <v>64</v>
      </c>
      <c r="E71">
        <v>25</v>
      </c>
      <c r="F71">
        <v>38.5</v>
      </c>
      <c r="G71">
        <v>16</v>
      </c>
      <c r="H71">
        <v>34.5</v>
      </c>
      <c r="I71">
        <v>34.5</v>
      </c>
      <c r="J71" t="s">
        <v>273</v>
      </c>
      <c r="K71" t="s">
        <v>371</v>
      </c>
      <c r="L71">
        <v>3644</v>
      </c>
      <c r="M71">
        <v>8956</v>
      </c>
      <c r="N71">
        <v>12600</v>
      </c>
      <c r="O71">
        <v>5399</v>
      </c>
      <c r="P71">
        <v>34</v>
      </c>
      <c r="Q71">
        <v>34.5</v>
      </c>
      <c r="R71">
        <v>367</v>
      </c>
      <c r="S71">
        <v>16</v>
      </c>
    </row>
    <row r="72" spans="1:19" x14ac:dyDescent="0.4">
      <c r="A72" t="s">
        <v>67</v>
      </c>
      <c r="B72">
        <v>202110</v>
      </c>
      <c r="C72">
        <v>16600</v>
      </c>
      <c r="D72" t="s">
        <v>62</v>
      </c>
      <c r="E72">
        <v>250</v>
      </c>
      <c r="F72">
        <v>290</v>
      </c>
      <c r="G72">
        <v>158</v>
      </c>
      <c r="H72">
        <v>168</v>
      </c>
      <c r="I72">
        <v>168</v>
      </c>
      <c r="J72" t="s">
        <v>372</v>
      </c>
      <c r="K72" t="s">
        <v>373</v>
      </c>
      <c r="L72">
        <v>1117</v>
      </c>
      <c r="M72">
        <v>2031</v>
      </c>
      <c r="N72">
        <v>3148</v>
      </c>
      <c r="O72">
        <v>6497</v>
      </c>
      <c r="P72">
        <v>168</v>
      </c>
      <c r="Q72">
        <v>170</v>
      </c>
      <c r="R72">
        <v>1080</v>
      </c>
      <c r="S72">
        <v>62</v>
      </c>
    </row>
    <row r="73" spans="1:19" x14ac:dyDescent="0.4">
      <c r="A73" t="s">
        <v>67</v>
      </c>
      <c r="B73">
        <v>202110</v>
      </c>
      <c r="C73">
        <v>16600</v>
      </c>
      <c r="D73" t="s">
        <v>64</v>
      </c>
      <c r="E73">
        <v>34</v>
      </c>
      <c r="F73">
        <v>51</v>
      </c>
      <c r="G73">
        <v>25</v>
      </c>
      <c r="H73">
        <v>45</v>
      </c>
      <c r="I73">
        <v>45</v>
      </c>
      <c r="J73" t="s">
        <v>91</v>
      </c>
      <c r="K73" t="s">
        <v>248</v>
      </c>
      <c r="L73">
        <v>6158</v>
      </c>
      <c r="M73">
        <v>14551</v>
      </c>
      <c r="N73">
        <v>20709</v>
      </c>
      <c r="O73">
        <v>10853</v>
      </c>
      <c r="P73">
        <v>45</v>
      </c>
      <c r="Q73">
        <v>46</v>
      </c>
      <c r="R73">
        <v>930</v>
      </c>
      <c r="S73">
        <v>23</v>
      </c>
    </row>
    <row r="74" spans="1:19" x14ac:dyDescent="0.4">
      <c r="A74" t="s">
        <v>67</v>
      </c>
      <c r="B74">
        <v>202110</v>
      </c>
      <c r="C74">
        <v>16650</v>
      </c>
      <c r="D74" t="s">
        <v>62</v>
      </c>
      <c r="E74">
        <v>215</v>
      </c>
      <c r="F74">
        <v>251</v>
      </c>
      <c r="G74">
        <v>123</v>
      </c>
      <c r="H74">
        <v>132</v>
      </c>
      <c r="I74">
        <v>132</v>
      </c>
      <c r="J74" t="s">
        <v>372</v>
      </c>
      <c r="K74" t="s">
        <v>374</v>
      </c>
      <c r="L74">
        <v>1054</v>
      </c>
      <c r="M74">
        <v>1932</v>
      </c>
      <c r="N74">
        <v>2986</v>
      </c>
      <c r="O74">
        <v>2731</v>
      </c>
      <c r="P74">
        <v>132</v>
      </c>
      <c r="Q74">
        <v>136</v>
      </c>
      <c r="R74">
        <v>251</v>
      </c>
      <c r="S74">
        <v>49</v>
      </c>
    </row>
    <row r="75" spans="1:19" x14ac:dyDescent="0.4">
      <c r="A75" t="s">
        <v>67</v>
      </c>
      <c r="B75">
        <v>202110</v>
      </c>
      <c r="C75">
        <v>16650</v>
      </c>
      <c r="D75" t="s">
        <v>64</v>
      </c>
      <c r="E75">
        <v>47.5</v>
      </c>
      <c r="F75">
        <v>67</v>
      </c>
      <c r="G75">
        <v>32.5</v>
      </c>
      <c r="H75">
        <v>61</v>
      </c>
      <c r="I75">
        <v>61</v>
      </c>
      <c r="J75" t="s">
        <v>95</v>
      </c>
      <c r="K75" t="s">
        <v>375</v>
      </c>
      <c r="L75">
        <v>4224</v>
      </c>
      <c r="M75">
        <v>12255</v>
      </c>
      <c r="N75">
        <v>16479</v>
      </c>
      <c r="O75">
        <v>3910</v>
      </c>
      <c r="P75">
        <v>59</v>
      </c>
      <c r="Q75">
        <v>60</v>
      </c>
      <c r="R75">
        <v>426</v>
      </c>
      <c r="S75">
        <v>31.5</v>
      </c>
    </row>
    <row r="76" spans="1:19" x14ac:dyDescent="0.4">
      <c r="A76" t="s">
        <v>67</v>
      </c>
      <c r="B76">
        <v>202110</v>
      </c>
      <c r="C76">
        <v>16700</v>
      </c>
      <c r="D76" t="s">
        <v>62</v>
      </c>
      <c r="E76">
        <v>178</v>
      </c>
      <c r="F76">
        <v>210</v>
      </c>
      <c r="G76">
        <v>94</v>
      </c>
      <c r="H76">
        <v>101</v>
      </c>
      <c r="I76">
        <v>101</v>
      </c>
      <c r="J76" t="s">
        <v>376</v>
      </c>
      <c r="K76" t="s">
        <v>377</v>
      </c>
      <c r="L76">
        <v>3045</v>
      </c>
      <c r="M76">
        <v>7364</v>
      </c>
      <c r="N76">
        <v>10409</v>
      </c>
      <c r="O76">
        <v>7631</v>
      </c>
      <c r="P76">
        <v>101</v>
      </c>
      <c r="Q76">
        <v>102</v>
      </c>
      <c r="R76">
        <v>920</v>
      </c>
      <c r="S76">
        <v>37</v>
      </c>
    </row>
    <row r="77" spans="1:19" x14ac:dyDescent="0.4">
      <c r="A77" t="s">
        <v>67</v>
      </c>
      <c r="B77">
        <v>202110</v>
      </c>
      <c r="C77">
        <v>16700</v>
      </c>
      <c r="D77" t="s">
        <v>64</v>
      </c>
      <c r="E77">
        <v>61</v>
      </c>
      <c r="F77">
        <v>87</v>
      </c>
      <c r="G77">
        <v>42.5</v>
      </c>
      <c r="H77">
        <v>79</v>
      </c>
      <c r="I77">
        <v>79</v>
      </c>
      <c r="J77" t="s">
        <v>77</v>
      </c>
      <c r="K77" t="s">
        <v>378</v>
      </c>
      <c r="L77">
        <v>7088</v>
      </c>
      <c r="M77">
        <v>22754</v>
      </c>
      <c r="N77">
        <v>29842</v>
      </c>
      <c r="O77">
        <v>9212</v>
      </c>
      <c r="P77">
        <v>77</v>
      </c>
      <c r="Q77">
        <v>79</v>
      </c>
      <c r="R77">
        <v>825</v>
      </c>
      <c r="S77">
        <v>42.5</v>
      </c>
    </row>
    <row r="78" spans="1:19" x14ac:dyDescent="0.4">
      <c r="A78" t="s">
        <v>67</v>
      </c>
      <c r="B78">
        <v>202110</v>
      </c>
      <c r="C78">
        <v>16750</v>
      </c>
      <c r="D78" t="s">
        <v>62</v>
      </c>
      <c r="E78">
        <v>145</v>
      </c>
      <c r="F78">
        <v>174</v>
      </c>
      <c r="G78">
        <v>69</v>
      </c>
      <c r="H78">
        <v>74</v>
      </c>
      <c r="I78">
        <v>74</v>
      </c>
      <c r="J78" t="s">
        <v>216</v>
      </c>
      <c r="K78" t="s">
        <v>379</v>
      </c>
      <c r="L78">
        <v>3529</v>
      </c>
      <c r="M78">
        <v>10416</v>
      </c>
      <c r="N78">
        <v>13945</v>
      </c>
      <c r="O78">
        <v>4648</v>
      </c>
      <c r="P78">
        <v>73</v>
      </c>
      <c r="Q78">
        <v>74</v>
      </c>
      <c r="R78">
        <v>174</v>
      </c>
      <c r="S78">
        <v>27</v>
      </c>
    </row>
    <row r="79" spans="1:19" x14ac:dyDescent="0.4">
      <c r="A79" t="s">
        <v>67</v>
      </c>
      <c r="B79">
        <v>202110</v>
      </c>
      <c r="C79">
        <v>16750</v>
      </c>
      <c r="D79" t="s">
        <v>64</v>
      </c>
      <c r="E79">
        <v>78</v>
      </c>
      <c r="F79">
        <v>111</v>
      </c>
      <c r="G79">
        <v>55</v>
      </c>
      <c r="H79">
        <v>101</v>
      </c>
      <c r="I79">
        <v>101</v>
      </c>
      <c r="J79" t="s">
        <v>81</v>
      </c>
      <c r="K79" t="s">
        <v>380</v>
      </c>
      <c r="L79">
        <v>5261</v>
      </c>
      <c r="M79">
        <v>15068</v>
      </c>
      <c r="N79">
        <v>20329</v>
      </c>
      <c r="O79">
        <v>2904</v>
      </c>
      <c r="P79">
        <v>100</v>
      </c>
      <c r="Q79">
        <v>101</v>
      </c>
      <c r="R79">
        <v>515</v>
      </c>
      <c r="S79">
        <v>54</v>
      </c>
    </row>
    <row r="80" spans="1:19" x14ac:dyDescent="0.4">
      <c r="A80" t="s">
        <v>67</v>
      </c>
      <c r="B80">
        <v>202110</v>
      </c>
      <c r="C80">
        <v>16800</v>
      </c>
      <c r="D80" t="s">
        <v>62</v>
      </c>
      <c r="E80">
        <v>115</v>
      </c>
      <c r="F80">
        <v>139</v>
      </c>
      <c r="G80">
        <v>48</v>
      </c>
      <c r="H80">
        <v>52</v>
      </c>
      <c r="I80">
        <v>52</v>
      </c>
      <c r="J80" t="s">
        <v>381</v>
      </c>
      <c r="K80" t="s">
        <v>382</v>
      </c>
      <c r="L80">
        <v>9399</v>
      </c>
      <c r="M80">
        <v>27092</v>
      </c>
      <c r="N80">
        <v>36491</v>
      </c>
      <c r="O80">
        <v>14226</v>
      </c>
      <c r="P80">
        <v>51</v>
      </c>
      <c r="Q80">
        <v>53</v>
      </c>
      <c r="R80">
        <v>845</v>
      </c>
      <c r="S80">
        <v>20</v>
      </c>
    </row>
    <row r="81" spans="1:19" x14ac:dyDescent="0.4">
      <c r="A81" t="s">
        <v>67</v>
      </c>
      <c r="B81">
        <v>202110</v>
      </c>
      <c r="C81">
        <v>16800</v>
      </c>
      <c r="D81" t="s">
        <v>64</v>
      </c>
      <c r="E81">
        <v>85</v>
      </c>
      <c r="F81">
        <v>141</v>
      </c>
      <c r="G81">
        <v>71</v>
      </c>
      <c r="H81">
        <v>127</v>
      </c>
      <c r="I81">
        <v>127</v>
      </c>
      <c r="J81" t="s">
        <v>80</v>
      </c>
      <c r="K81" s="28" t="s">
        <v>383</v>
      </c>
      <c r="L81">
        <v>6224</v>
      </c>
      <c r="M81">
        <v>21250</v>
      </c>
      <c r="N81">
        <v>27474</v>
      </c>
      <c r="O81">
        <v>6582</v>
      </c>
      <c r="P81">
        <v>126</v>
      </c>
      <c r="Q81">
        <v>129</v>
      </c>
      <c r="R81">
        <v>945</v>
      </c>
      <c r="S81">
        <v>70</v>
      </c>
    </row>
    <row r="82" spans="1:19" x14ac:dyDescent="0.4">
      <c r="A82" t="s">
        <v>67</v>
      </c>
      <c r="B82">
        <v>202110</v>
      </c>
      <c r="C82">
        <v>16850</v>
      </c>
      <c r="D82" t="s">
        <v>62</v>
      </c>
      <c r="E82">
        <v>89</v>
      </c>
      <c r="F82">
        <v>109</v>
      </c>
      <c r="G82">
        <v>32.5</v>
      </c>
      <c r="H82">
        <v>35</v>
      </c>
      <c r="I82">
        <v>35</v>
      </c>
      <c r="J82" t="s">
        <v>172</v>
      </c>
      <c r="K82" s="28" t="s">
        <v>306</v>
      </c>
      <c r="L82">
        <v>6484</v>
      </c>
      <c r="M82">
        <v>20918</v>
      </c>
      <c r="N82">
        <v>27402</v>
      </c>
      <c r="O82">
        <v>8507</v>
      </c>
      <c r="P82">
        <v>34</v>
      </c>
      <c r="Q82">
        <v>35</v>
      </c>
      <c r="R82">
        <v>109</v>
      </c>
      <c r="S82">
        <v>14.5</v>
      </c>
    </row>
    <row r="83" spans="1:19" x14ac:dyDescent="0.4">
      <c r="A83" t="s">
        <v>67</v>
      </c>
      <c r="B83">
        <v>202110</v>
      </c>
      <c r="C83">
        <v>16850</v>
      </c>
      <c r="D83" t="s">
        <v>64</v>
      </c>
      <c r="E83">
        <v>116</v>
      </c>
      <c r="F83">
        <v>176</v>
      </c>
      <c r="G83">
        <v>91</v>
      </c>
      <c r="H83">
        <v>159</v>
      </c>
      <c r="I83">
        <v>159</v>
      </c>
      <c r="J83" t="s">
        <v>118</v>
      </c>
      <c r="K83" s="28" t="s">
        <v>384</v>
      </c>
      <c r="L83">
        <v>2289</v>
      </c>
      <c r="M83">
        <v>8835</v>
      </c>
      <c r="N83">
        <v>11124</v>
      </c>
      <c r="O83">
        <v>1231</v>
      </c>
      <c r="P83">
        <v>159</v>
      </c>
      <c r="Q83">
        <v>162</v>
      </c>
      <c r="R83">
        <v>463</v>
      </c>
      <c r="S83">
        <v>90</v>
      </c>
    </row>
    <row r="84" spans="1:19" x14ac:dyDescent="0.4">
      <c r="A84" t="s">
        <v>67</v>
      </c>
      <c r="B84">
        <v>202110</v>
      </c>
      <c r="C84">
        <v>16900</v>
      </c>
      <c r="D84" t="s">
        <v>62</v>
      </c>
      <c r="E84">
        <v>68</v>
      </c>
      <c r="F84">
        <v>83</v>
      </c>
      <c r="G84">
        <v>20</v>
      </c>
      <c r="H84">
        <v>21</v>
      </c>
      <c r="I84">
        <v>21</v>
      </c>
      <c r="J84" t="s">
        <v>319</v>
      </c>
      <c r="K84" t="s">
        <v>341</v>
      </c>
      <c r="L84">
        <v>7871</v>
      </c>
      <c r="M84">
        <v>32053</v>
      </c>
      <c r="N84">
        <v>39924</v>
      </c>
      <c r="O84">
        <v>18464</v>
      </c>
      <c r="P84">
        <v>21</v>
      </c>
      <c r="Q84">
        <v>21.5</v>
      </c>
      <c r="R84">
        <v>775</v>
      </c>
      <c r="S84">
        <v>10</v>
      </c>
    </row>
    <row r="85" spans="1:19" x14ac:dyDescent="0.4">
      <c r="A85" t="s">
        <v>67</v>
      </c>
      <c r="B85">
        <v>202110</v>
      </c>
      <c r="C85">
        <v>16900</v>
      </c>
      <c r="D85" t="s">
        <v>64</v>
      </c>
      <c r="E85">
        <v>151</v>
      </c>
      <c r="F85">
        <v>214</v>
      </c>
      <c r="G85">
        <v>115</v>
      </c>
      <c r="H85">
        <v>201</v>
      </c>
      <c r="I85">
        <v>201</v>
      </c>
      <c r="J85" t="s">
        <v>93</v>
      </c>
      <c r="K85" t="s">
        <v>385</v>
      </c>
      <c r="L85">
        <v>1792</v>
      </c>
      <c r="M85">
        <v>7856</v>
      </c>
      <c r="N85">
        <v>9648</v>
      </c>
      <c r="O85">
        <v>3553</v>
      </c>
      <c r="P85">
        <v>197</v>
      </c>
      <c r="Q85">
        <v>202</v>
      </c>
      <c r="R85">
        <v>925</v>
      </c>
      <c r="S85">
        <v>115</v>
      </c>
    </row>
    <row r="86" spans="1:19" x14ac:dyDescent="0.4">
      <c r="A86" t="s">
        <v>67</v>
      </c>
      <c r="B86">
        <v>202110</v>
      </c>
      <c r="C86">
        <v>16950</v>
      </c>
      <c r="D86" t="s">
        <v>62</v>
      </c>
      <c r="E86">
        <v>46</v>
      </c>
      <c r="F86">
        <v>61</v>
      </c>
      <c r="G86">
        <v>12</v>
      </c>
      <c r="H86">
        <v>12.5</v>
      </c>
      <c r="I86">
        <v>12.5</v>
      </c>
      <c r="J86" t="s">
        <v>86</v>
      </c>
      <c r="K86" s="28" t="s">
        <v>386</v>
      </c>
      <c r="L86">
        <v>5096</v>
      </c>
      <c r="M86">
        <v>22433</v>
      </c>
      <c r="N86">
        <v>27529</v>
      </c>
      <c r="O86">
        <v>10817</v>
      </c>
      <c r="P86">
        <v>12.5</v>
      </c>
      <c r="Q86">
        <v>13</v>
      </c>
      <c r="R86">
        <v>61</v>
      </c>
      <c r="S86">
        <v>7.2</v>
      </c>
    </row>
    <row r="87" spans="1:19" x14ac:dyDescent="0.4">
      <c r="A87" t="s">
        <v>67</v>
      </c>
      <c r="B87">
        <v>202110</v>
      </c>
      <c r="C87">
        <v>16950</v>
      </c>
      <c r="D87" t="s">
        <v>64</v>
      </c>
      <c r="E87">
        <v>184</v>
      </c>
      <c r="F87">
        <v>256</v>
      </c>
      <c r="G87">
        <v>143</v>
      </c>
      <c r="H87">
        <v>246</v>
      </c>
      <c r="I87">
        <v>246</v>
      </c>
      <c r="J87" t="s">
        <v>144</v>
      </c>
      <c r="K87" t="s">
        <v>387</v>
      </c>
      <c r="L87">
        <v>419</v>
      </c>
      <c r="M87">
        <v>1589</v>
      </c>
      <c r="N87">
        <v>2008</v>
      </c>
      <c r="O87">
        <v>190</v>
      </c>
      <c r="P87">
        <v>226</v>
      </c>
      <c r="Q87">
        <v>263</v>
      </c>
      <c r="R87">
        <v>605</v>
      </c>
      <c r="S87">
        <v>142</v>
      </c>
    </row>
    <row r="88" spans="1:19" x14ac:dyDescent="0.4">
      <c r="A88" t="s">
        <v>67</v>
      </c>
      <c r="B88">
        <v>202110</v>
      </c>
      <c r="C88">
        <v>17000</v>
      </c>
      <c r="D88" t="s">
        <v>62</v>
      </c>
      <c r="E88">
        <v>31</v>
      </c>
      <c r="F88">
        <v>43.5</v>
      </c>
      <c r="G88">
        <v>7.1</v>
      </c>
      <c r="H88">
        <v>7.6</v>
      </c>
      <c r="I88">
        <v>7.6</v>
      </c>
      <c r="J88" t="s">
        <v>388</v>
      </c>
      <c r="K88" t="s">
        <v>389</v>
      </c>
      <c r="L88">
        <v>8129</v>
      </c>
      <c r="M88">
        <v>32081</v>
      </c>
      <c r="N88">
        <v>40210</v>
      </c>
      <c r="O88">
        <v>23065</v>
      </c>
      <c r="P88">
        <v>7.4</v>
      </c>
      <c r="Q88">
        <v>7.5</v>
      </c>
      <c r="R88">
        <v>815</v>
      </c>
      <c r="S88">
        <v>5.0999999999999996</v>
      </c>
    </row>
    <row r="89" spans="1:19" x14ac:dyDescent="0.4">
      <c r="A89" t="s">
        <v>67</v>
      </c>
      <c r="B89">
        <v>202110</v>
      </c>
      <c r="C89">
        <v>17000</v>
      </c>
      <c r="D89" t="s">
        <v>64</v>
      </c>
      <c r="E89">
        <v>220</v>
      </c>
      <c r="F89">
        <v>300</v>
      </c>
      <c r="G89">
        <v>176</v>
      </c>
      <c r="H89">
        <v>285</v>
      </c>
      <c r="I89">
        <v>285</v>
      </c>
      <c r="J89" t="s">
        <v>321</v>
      </c>
      <c r="K89" t="s">
        <v>390</v>
      </c>
      <c r="L89">
        <v>494</v>
      </c>
      <c r="M89">
        <v>1953</v>
      </c>
      <c r="N89">
        <v>2447</v>
      </c>
      <c r="O89">
        <v>3129</v>
      </c>
      <c r="P89">
        <v>281</v>
      </c>
      <c r="Q89">
        <v>290</v>
      </c>
      <c r="R89">
        <v>910</v>
      </c>
      <c r="S89">
        <v>165</v>
      </c>
    </row>
    <row r="90" spans="1:19" x14ac:dyDescent="0.4">
      <c r="A90" t="s">
        <v>67</v>
      </c>
      <c r="B90">
        <v>202110</v>
      </c>
      <c r="C90">
        <v>17050</v>
      </c>
      <c r="D90" t="s">
        <v>62</v>
      </c>
      <c r="E90">
        <v>18.5</v>
      </c>
      <c r="F90">
        <v>30</v>
      </c>
      <c r="G90">
        <v>4.0999999999999996</v>
      </c>
      <c r="H90">
        <v>4.3</v>
      </c>
      <c r="I90">
        <v>4.3</v>
      </c>
      <c r="J90" t="s">
        <v>391</v>
      </c>
      <c r="K90" t="s">
        <v>392</v>
      </c>
      <c r="L90">
        <v>0</v>
      </c>
      <c r="M90">
        <v>14095</v>
      </c>
      <c r="N90">
        <v>14095</v>
      </c>
      <c r="O90">
        <v>6549</v>
      </c>
      <c r="P90">
        <v>4.3</v>
      </c>
      <c r="Q90">
        <v>4.5</v>
      </c>
      <c r="R90">
        <v>30</v>
      </c>
      <c r="S90">
        <v>4.0999999999999996</v>
      </c>
    </row>
    <row r="91" spans="1:19" x14ac:dyDescent="0.4">
      <c r="A91" t="s">
        <v>67</v>
      </c>
      <c r="B91">
        <v>202110</v>
      </c>
      <c r="C91">
        <v>17050</v>
      </c>
      <c r="D91" t="s">
        <v>64</v>
      </c>
      <c r="E91">
        <v>237</v>
      </c>
      <c r="F91">
        <v>340</v>
      </c>
      <c r="G91">
        <v>219</v>
      </c>
      <c r="H91">
        <v>338</v>
      </c>
      <c r="I91">
        <v>335</v>
      </c>
      <c r="J91" t="s">
        <v>393</v>
      </c>
      <c r="K91" t="s">
        <v>394</v>
      </c>
      <c r="L91">
        <v>0</v>
      </c>
      <c r="M91">
        <v>36</v>
      </c>
      <c r="N91">
        <v>36</v>
      </c>
      <c r="O91">
        <v>20</v>
      </c>
      <c r="P91">
        <v>323</v>
      </c>
      <c r="Q91">
        <v>473</v>
      </c>
      <c r="R91">
        <v>340</v>
      </c>
      <c r="S91">
        <v>219</v>
      </c>
    </row>
    <row r="92" spans="1:19" x14ac:dyDescent="0.4">
      <c r="A92" t="s">
        <v>67</v>
      </c>
      <c r="B92">
        <v>202110</v>
      </c>
      <c r="C92">
        <v>17100</v>
      </c>
      <c r="D92" t="s">
        <v>62</v>
      </c>
      <c r="E92">
        <v>14.5</v>
      </c>
      <c r="F92">
        <v>19</v>
      </c>
      <c r="G92">
        <v>2.9</v>
      </c>
      <c r="H92">
        <v>3.1</v>
      </c>
      <c r="I92">
        <v>3.1</v>
      </c>
      <c r="J92" t="s">
        <v>395</v>
      </c>
      <c r="K92" t="s">
        <v>396</v>
      </c>
      <c r="L92">
        <v>6493</v>
      </c>
      <c r="M92">
        <v>21413</v>
      </c>
      <c r="N92">
        <v>27906</v>
      </c>
      <c r="O92">
        <v>15588</v>
      </c>
      <c r="P92">
        <v>3</v>
      </c>
      <c r="Q92">
        <v>3.5</v>
      </c>
      <c r="R92">
        <v>705</v>
      </c>
      <c r="S92">
        <v>2.9</v>
      </c>
    </row>
    <row r="93" spans="1:19" x14ac:dyDescent="0.4">
      <c r="A93" t="s">
        <v>67</v>
      </c>
      <c r="B93">
        <v>202110</v>
      </c>
      <c r="C93">
        <v>17100</v>
      </c>
      <c r="D93" t="s">
        <v>64</v>
      </c>
      <c r="E93">
        <v>302</v>
      </c>
      <c r="F93">
        <v>392</v>
      </c>
      <c r="G93">
        <v>260</v>
      </c>
      <c r="H93">
        <v>388</v>
      </c>
      <c r="I93">
        <v>385</v>
      </c>
      <c r="J93" t="s">
        <v>397</v>
      </c>
      <c r="K93" t="s">
        <v>398</v>
      </c>
      <c r="L93">
        <v>159</v>
      </c>
      <c r="M93">
        <v>423</v>
      </c>
      <c r="N93">
        <v>582</v>
      </c>
      <c r="O93">
        <v>1992</v>
      </c>
      <c r="P93">
        <v>375</v>
      </c>
      <c r="Q93">
        <v>500</v>
      </c>
      <c r="R93">
        <v>995</v>
      </c>
      <c r="S93">
        <v>131</v>
      </c>
    </row>
    <row r="94" spans="1:19" x14ac:dyDescent="0.4">
      <c r="A94" t="s">
        <v>67</v>
      </c>
      <c r="B94">
        <v>202110</v>
      </c>
      <c r="C94">
        <v>17150</v>
      </c>
      <c r="D94" t="s">
        <v>62</v>
      </c>
      <c r="E94">
        <v>10</v>
      </c>
      <c r="F94">
        <v>11.5</v>
      </c>
      <c r="G94">
        <v>1.9</v>
      </c>
      <c r="H94">
        <v>2</v>
      </c>
      <c r="I94">
        <v>2</v>
      </c>
      <c r="J94" t="s">
        <v>399</v>
      </c>
      <c r="K94" t="s">
        <v>400</v>
      </c>
      <c r="L94">
        <v>0</v>
      </c>
      <c r="M94">
        <v>7936</v>
      </c>
      <c r="N94">
        <v>7936</v>
      </c>
      <c r="O94">
        <v>1096</v>
      </c>
      <c r="P94">
        <v>1.8</v>
      </c>
      <c r="Q94">
        <v>2.1</v>
      </c>
      <c r="R94">
        <v>11.5</v>
      </c>
      <c r="S94">
        <v>1.9</v>
      </c>
    </row>
    <row r="95" spans="1:19" x14ac:dyDescent="0.4">
      <c r="A95" t="s">
        <v>67</v>
      </c>
      <c r="B95">
        <v>202110</v>
      </c>
      <c r="C95">
        <v>17150</v>
      </c>
      <c r="D95" t="s">
        <v>64</v>
      </c>
      <c r="E95" t="s">
        <v>63</v>
      </c>
      <c r="F95" t="s">
        <v>63</v>
      </c>
      <c r="G95" t="s">
        <v>63</v>
      </c>
      <c r="H95" t="s">
        <v>63</v>
      </c>
      <c r="I95">
        <v>435</v>
      </c>
      <c r="J95" t="s">
        <v>68</v>
      </c>
      <c r="K95" t="s">
        <v>68</v>
      </c>
      <c r="L95">
        <v>0</v>
      </c>
      <c r="M95">
        <v>0</v>
      </c>
      <c r="N95">
        <v>0</v>
      </c>
      <c r="O95">
        <v>0</v>
      </c>
      <c r="P95">
        <v>420</v>
      </c>
      <c r="Q95">
        <v>570</v>
      </c>
      <c r="R95" t="s">
        <v>63</v>
      </c>
      <c r="S95" t="s">
        <v>63</v>
      </c>
    </row>
    <row r="96" spans="1:19" x14ac:dyDescent="0.4">
      <c r="A96" t="s">
        <v>67</v>
      </c>
      <c r="B96">
        <v>202110</v>
      </c>
      <c r="C96">
        <v>17200</v>
      </c>
      <c r="D96" t="s">
        <v>62</v>
      </c>
      <c r="E96">
        <v>7.9</v>
      </c>
      <c r="F96">
        <v>8</v>
      </c>
      <c r="G96">
        <v>1.3</v>
      </c>
      <c r="H96">
        <v>1.6</v>
      </c>
      <c r="I96">
        <v>1.6</v>
      </c>
      <c r="J96" t="s">
        <v>399</v>
      </c>
      <c r="K96" t="s">
        <v>401</v>
      </c>
      <c r="L96">
        <v>2523</v>
      </c>
      <c r="M96">
        <v>5947</v>
      </c>
      <c r="N96">
        <v>8470</v>
      </c>
      <c r="O96">
        <v>13474</v>
      </c>
      <c r="P96">
        <v>1.6</v>
      </c>
      <c r="Q96">
        <v>1.7</v>
      </c>
      <c r="R96">
        <v>660</v>
      </c>
      <c r="S96">
        <v>0.5</v>
      </c>
    </row>
    <row r="97" spans="1:19" x14ac:dyDescent="0.4">
      <c r="A97" t="s">
        <v>67</v>
      </c>
      <c r="B97">
        <v>202110</v>
      </c>
      <c r="C97">
        <v>17200</v>
      </c>
      <c r="D97" t="s">
        <v>64</v>
      </c>
      <c r="E97">
        <v>394</v>
      </c>
      <c r="F97">
        <v>493</v>
      </c>
      <c r="G97">
        <v>347</v>
      </c>
      <c r="H97">
        <v>485</v>
      </c>
      <c r="I97">
        <v>485</v>
      </c>
      <c r="J97" t="s">
        <v>224</v>
      </c>
      <c r="K97" t="s">
        <v>402</v>
      </c>
      <c r="L97">
        <v>24</v>
      </c>
      <c r="M97">
        <v>119</v>
      </c>
      <c r="N97">
        <v>143</v>
      </c>
      <c r="O97">
        <v>3553</v>
      </c>
      <c r="P97">
        <v>476</v>
      </c>
      <c r="Q97">
        <v>492</v>
      </c>
      <c r="R97">
        <v>1090</v>
      </c>
      <c r="S97">
        <v>223</v>
      </c>
    </row>
    <row r="98" spans="1:19" x14ac:dyDescent="0.4">
      <c r="A98" t="s">
        <v>67</v>
      </c>
      <c r="B98">
        <v>202110</v>
      </c>
      <c r="C98">
        <v>17250</v>
      </c>
      <c r="D98" t="s">
        <v>62</v>
      </c>
      <c r="E98">
        <v>6.5</v>
      </c>
      <c r="F98">
        <v>6.5</v>
      </c>
      <c r="G98">
        <v>1</v>
      </c>
      <c r="H98">
        <v>1.3</v>
      </c>
      <c r="I98">
        <v>1.3</v>
      </c>
      <c r="J98" t="s">
        <v>403</v>
      </c>
      <c r="K98" t="s">
        <v>323</v>
      </c>
      <c r="L98">
        <v>0</v>
      </c>
      <c r="M98">
        <v>2193</v>
      </c>
      <c r="N98">
        <v>2193</v>
      </c>
      <c r="O98">
        <v>782</v>
      </c>
      <c r="P98">
        <v>0.8</v>
      </c>
      <c r="Q98">
        <v>1.5</v>
      </c>
      <c r="R98">
        <v>6.5</v>
      </c>
      <c r="S98">
        <v>1</v>
      </c>
    </row>
    <row r="99" spans="1:19" x14ac:dyDescent="0.4">
      <c r="A99" t="s">
        <v>67</v>
      </c>
      <c r="B99">
        <v>202110</v>
      </c>
      <c r="C99">
        <v>17250</v>
      </c>
      <c r="D99" t="s">
        <v>64</v>
      </c>
      <c r="E99" t="s">
        <v>63</v>
      </c>
      <c r="F99" t="s">
        <v>63</v>
      </c>
      <c r="G99" t="s">
        <v>63</v>
      </c>
      <c r="H99" t="s">
        <v>63</v>
      </c>
      <c r="I99">
        <v>535</v>
      </c>
      <c r="J99" t="s">
        <v>68</v>
      </c>
      <c r="K99" t="s">
        <v>68</v>
      </c>
      <c r="L99">
        <v>0</v>
      </c>
      <c r="M99">
        <v>0</v>
      </c>
      <c r="N99">
        <v>0</v>
      </c>
      <c r="O99">
        <v>0</v>
      </c>
      <c r="P99">
        <v>386</v>
      </c>
      <c r="Q99">
        <v>665</v>
      </c>
      <c r="R99" t="s">
        <v>63</v>
      </c>
      <c r="S99" t="s">
        <v>63</v>
      </c>
    </row>
    <row r="100" spans="1:19" x14ac:dyDescent="0.4">
      <c r="A100" t="s">
        <v>67</v>
      </c>
      <c r="B100">
        <v>202110</v>
      </c>
      <c r="C100">
        <v>17300</v>
      </c>
      <c r="D100" t="s">
        <v>62</v>
      </c>
      <c r="E100">
        <v>4</v>
      </c>
      <c r="F100">
        <v>4</v>
      </c>
      <c r="G100">
        <v>0.8</v>
      </c>
      <c r="H100">
        <v>0.9</v>
      </c>
      <c r="I100">
        <v>0.9</v>
      </c>
      <c r="J100" t="s">
        <v>254</v>
      </c>
      <c r="K100" t="s">
        <v>404</v>
      </c>
      <c r="L100">
        <v>1036</v>
      </c>
      <c r="M100">
        <v>3565</v>
      </c>
      <c r="N100">
        <v>4601</v>
      </c>
      <c r="O100">
        <v>8732</v>
      </c>
      <c r="P100">
        <v>0.8</v>
      </c>
      <c r="Q100">
        <v>1</v>
      </c>
      <c r="R100">
        <v>615</v>
      </c>
      <c r="S100">
        <v>0.8</v>
      </c>
    </row>
    <row r="101" spans="1:19" x14ac:dyDescent="0.4">
      <c r="A101" t="s">
        <v>67</v>
      </c>
      <c r="B101">
        <v>202110</v>
      </c>
      <c r="C101">
        <v>17300</v>
      </c>
      <c r="D101" t="s">
        <v>64</v>
      </c>
      <c r="E101">
        <v>491</v>
      </c>
      <c r="F101">
        <v>585</v>
      </c>
      <c r="G101">
        <v>475</v>
      </c>
      <c r="H101">
        <v>585</v>
      </c>
      <c r="I101">
        <v>585</v>
      </c>
      <c r="J101" t="s">
        <v>405</v>
      </c>
      <c r="K101" t="s">
        <v>406</v>
      </c>
      <c r="L101">
        <v>15</v>
      </c>
      <c r="M101">
        <v>12</v>
      </c>
      <c r="N101">
        <v>27</v>
      </c>
      <c r="O101">
        <v>2504</v>
      </c>
      <c r="P101">
        <v>555</v>
      </c>
      <c r="Q101">
        <v>595</v>
      </c>
      <c r="R101">
        <v>1270</v>
      </c>
      <c r="S101">
        <v>260</v>
      </c>
    </row>
    <row r="102" spans="1:19" x14ac:dyDescent="0.4">
      <c r="A102" t="s">
        <v>67</v>
      </c>
      <c r="B102">
        <v>202110</v>
      </c>
      <c r="C102">
        <v>17400</v>
      </c>
      <c r="D102" t="s">
        <v>62</v>
      </c>
      <c r="E102">
        <v>2.1</v>
      </c>
      <c r="F102">
        <v>2.1</v>
      </c>
      <c r="G102">
        <v>0.5</v>
      </c>
      <c r="H102">
        <v>0.8</v>
      </c>
      <c r="I102">
        <v>0.8</v>
      </c>
      <c r="J102" t="s">
        <v>282</v>
      </c>
      <c r="K102" t="s">
        <v>407</v>
      </c>
      <c r="L102">
        <v>356</v>
      </c>
      <c r="M102">
        <v>1065</v>
      </c>
      <c r="N102">
        <v>1421</v>
      </c>
      <c r="O102">
        <v>7432</v>
      </c>
      <c r="P102">
        <v>0.7</v>
      </c>
      <c r="Q102">
        <v>0.8</v>
      </c>
      <c r="R102">
        <v>565</v>
      </c>
      <c r="S102">
        <v>0.5</v>
      </c>
    </row>
    <row r="103" spans="1:19" x14ac:dyDescent="0.4">
      <c r="A103" t="s">
        <v>67</v>
      </c>
      <c r="B103">
        <v>202110</v>
      </c>
      <c r="C103">
        <v>17400</v>
      </c>
      <c r="D103" t="s">
        <v>64</v>
      </c>
      <c r="E103" t="s">
        <v>63</v>
      </c>
      <c r="F103" t="s">
        <v>63</v>
      </c>
      <c r="G103" t="s">
        <v>63</v>
      </c>
      <c r="H103" t="s">
        <v>63</v>
      </c>
      <c r="I103">
        <v>680</v>
      </c>
      <c r="J103" t="s">
        <v>68</v>
      </c>
      <c r="K103" t="s">
        <v>68</v>
      </c>
      <c r="L103">
        <v>0</v>
      </c>
      <c r="M103">
        <v>0</v>
      </c>
      <c r="N103">
        <v>0</v>
      </c>
      <c r="O103">
        <v>1332</v>
      </c>
      <c r="P103">
        <v>540</v>
      </c>
      <c r="Q103">
        <v>700</v>
      </c>
      <c r="R103">
        <v>1200</v>
      </c>
      <c r="S103">
        <v>303</v>
      </c>
    </row>
    <row r="104" spans="1:19" x14ac:dyDescent="0.4">
      <c r="A104" t="s">
        <v>67</v>
      </c>
      <c r="B104">
        <v>202110</v>
      </c>
      <c r="C104">
        <v>17500</v>
      </c>
      <c r="D104" t="s">
        <v>62</v>
      </c>
      <c r="E104">
        <v>1.2</v>
      </c>
      <c r="F104">
        <v>1.2</v>
      </c>
      <c r="G104">
        <v>0.4</v>
      </c>
      <c r="H104">
        <v>0.5</v>
      </c>
      <c r="I104">
        <v>0.5</v>
      </c>
      <c r="J104" t="s">
        <v>102</v>
      </c>
      <c r="K104" t="s">
        <v>341</v>
      </c>
      <c r="L104">
        <v>105</v>
      </c>
      <c r="M104">
        <v>498</v>
      </c>
      <c r="N104">
        <v>603</v>
      </c>
      <c r="O104">
        <v>8256</v>
      </c>
      <c r="P104">
        <v>0.4</v>
      </c>
      <c r="Q104">
        <v>0.6</v>
      </c>
      <c r="R104">
        <v>466</v>
      </c>
      <c r="S104">
        <v>0.1</v>
      </c>
    </row>
    <row r="105" spans="1:19" x14ac:dyDescent="0.4">
      <c r="A105" t="s">
        <v>67</v>
      </c>
      <c r="B105">
        <v>202110</v>
      </c>
      <c r="C105">
        <v>17500</v>
      </c>
      <c r="D105" t="s">
        <v>64</v>
      </c>
      <c r="E105" t="s">
        <v>63</v>
      </c>
      <c r="F105" t="s">
        <v>63</v>
      </c>
      <c r="G105" t="s">
        <v>63</v>
      </c>
      <c r="H105" t="s">
        <v>63</v>
      </c>
      <c r="I105">
        <v>780</v>
      </c>
      <c r="J105" t="s">
        <v>68</v>
      </c>
      <c r="K105" t="s">
        <v>68</v>
      </c>
      <c r="L105">
        <v>4</v>
      </c>
      <c r="M105">
        <v>0</v>
      </c>
      <c r="N105">
        <v>4</v>
      </c>
      <c r="O105">
        <v>299</v>
      </c>
      <c r="P105">
        <v>715</v>
      </c>
      <c r="Q105">
        <v>795</v>
      </c>
      <c r="R105">
        <v>1360</v>
      </c>
      <c r="S105">
        <v>353</v>
      </c>
    </row>
    <row r="106" spans="1:19" x14ac:dyDescent="0.4">
      <c r="A106" t="s">
        <v>67</v>
      </c>
      <c r="B106">
        <v>202110</v>
      </c>
      <c r="C106">
        <v>17600</v>
      </c>
      <c r="D106" t="s">
        <v>62</v>
      </c>
      <c r="E106">
        <v>0.7</v>
      </c>
      <c r="F106">
        <v>0.9</v>
      </c>
      <c r="G106">
        <v>0.3</v>
      </c>
      <c r="H106">
        <v>0.4</v>
      </c>
      <c r="I106">
        <v>0.4</v>
      </c>
      <c r="J106" t="s">
        <v>104</v>
      </c>
      <c r="K106" t="s">
        <v>231</v>
      </c>
      <c r="L106">
        <v>63</v>
      </c>
      <c r="M106">
        <v>682</v>
      </c>
      <c r="N106">
        <v>745</v>
      </c>
      <c r="O106">
        <v>5917</v>
      </c>
      <c r="P106">
        <v>0.4</v>
      </c>
      <c r="Q106">
        <v>0.6</v>
      </c>
      <c r="R106">
        <v>490</v>
      </c>
      <c r="S106">
        <v>0.3</v>
      </c>
    </row>
    <row r="107" spans="1:19" x14ac:dyDescent="0.4">
      <c r="A107" t="s">
        <v>67</v>
      </c>
      <c r="B107">
        <v>202110</v>
      </c>
      <c r="C107">
        <v>17600</v>
      </c>
      <c r="D107" t="s">
        <v>64</v>
      </c>
      <c r="E107">
        <v>765</v>
      </c>
      <c r="F107">
        <v>810</v>
      </c>
      <c r="G107">
        <v>765</v>
      </c>
      <c r="H107">
        <v>810</v>
      </c>
      <c r="I107">
        <v>880</v>
      </c>
      <c r="J107" t="s">
        <v>101</v>
      </c>
      <c r="K107" t="s">
        <v>408</v>
      </c>
      <c r="L107">
        <v>22</v>
      </c>
      <c r="M107">
        <v>3</v>
      </c>
      <c r="N107">
        <v>25</v>
      </c>
      <c r="O107">
        <v>250</v>
      </c>
      <c r="P107">
        <v>740</v>
      </c>
      <c r="Q107">
        <v>890</v>
      </c>
      <c r="R107">
        <v>1400</v>
      </c>
      <c r="S107">
        <v>410</v>
      </c>
    </row>
    <row r="108" spans="1:19" x14ac:dyDescent="0.4">
      <c r="A108" t="s">
        <v>67</v>
      </c>
      <c r="B108">
        <v>202110</v>
      </c>
      <c r="C108">
        <v>17700</v>
      </c>
      <c r="D108" t="s">
        <v>62</v>
      </c>
      <c r="E108">
        <v>0.6</v>
      </c>
      <c r="F108">
        <v>0.6</v>
      </c>
      <c r="G108">
        <v>0.2</v>
      </c>
      <c r="H108">
        <v>0.4</v>
      </c>
      <c r="I108">
        <v>0.4</v>
      </c>
      <c r="J108" t="s">
        <v>72</v>
      </c>
      <c r="K108" t="s">
        <v>409</v>
      </c>
      <c r="L108">
        <v>13</v>
      </c>
      <c r="M108">
        <v>469</v>
      </c>
      <c r="N108">
        <v>482</v>
      </c>
      <c r="O108">
        <v>4746</v>
      </c>
      <c r="P108">
        <v>0.2</v>
      </c>
      <c r="Q108">
        <v>1</v>
      </c>
      <c r="R108">
        <v>445</v>
      </c>
      <c r="S108">
        <v>0.2</v>
      </c>
    </row>
    <row r="109" spans="1:19" x14ac:dyDescent="0.4">
      <c r="A109" t="s">
        <v>67</v>
      </c>
      <c r="B109">
        <v>202110</v>
      </c>
      <c r="C109">
        <v>17700</v>
      </c>
      <c r="D109" t="s">
        <v>64</v>
      </c>
      <c r="E109" t="s">
        <v>63</v>
      </c>
      <c r="F109" t="s">
        <v>63</v>
      </c>
      <c r="G109" t="s">
        <v>63</v>
      </c>
      <c r="H109" t="s">
        <v>63</v>
      </c>
      <c r="I109">
        <v>980</v>
      </c>
      <c r="J109" t="s">
        <v>68</v>
      </c>
      <c r="K109" t="s">
        <v>68</v>
      </c>
      <c r="L109">
        <v>2</v>
      </c>
      <c r="M109">
        <v>0</v>
      </c>
      <c r="N109">
        <v>2</v>
      </c>
      <c r="O109">
        <v>137</v>
      </c>
      <c r="P109">
        <v>860</v>
      </c>
      <c r="Q109">
        <v>1110</v>
      </c>
      <c r="R109">
        <v>1480</v>
      </c>
      <c r="S109">
        <v>470</v>
      </c>
    </row>
    <row r="110" spans="1:19" x14ac:dyDescent="0.4">
      <c r="A110" t="s">
        <v>67</v>
      </c>
      <c r="B110">
        <v>202110</v>
      </c>
      <c r="C110">
        <v>17800</v>
      </c>
      <c r="D110" t="s">
        <v>62</v>
      </c>
      <c r="E110">
        <v>0.4</v>
      </c>
      <c r="F110">
        <v>0.4</v>
      </c>
      <c r="G110">
        <v>0.2</v>
      </c>
      <c r="H110">
        <v>0.3</v>
      </c>
      <c r="I110">
        <v>0.3</v>
      </c>
      <c r="J110" t="s">
        <v>107</v>
      </c>
      <c r="K110" s="28" t="s">
        <v>108</v>
      </c>
      <c r="L110">
        <v>25</v>
      </c>
      <c r="M110">
        <v>84</v>
      </c>
      <c r="N110">
        <v>109</v>
      </c>
      <c r="O110">
        <v>6618</v>
      </c>
      <c r="P110">
        <v>0.1</v>
      </c>
      <c r="Q110">
        <v>0.7</v>
      </c>
      <c r="R110">
        <v>403</v>
      </c>
      <c r="S110">
        <v>0.1</v>
      </c>
    </row>
    <row r="111" spans="1:19" x14ac:dyDescent="0.4">
      <c r="A111" t="s">
        <v>67</v>
      </c>
      <c r="B111">
        <v>202110</v>
      </c>
      <c r="C111">
        <v>17800</v>
      </c>
      <c r="D111" t="s">
        <v>64</v>
      </c>
      <c r="E111" t="s">
        <v>63</v>
      </c>
      <c r="F111" t="s">
        <v>63</v>
      </c>
      <c r="G111" t="s">
        <v>63</v>
      </c>
      <c r="H111" t="s">
        <v>63</v>
      </c>
      <c r="I111">
        <v>1080</v>
      </c>
      <c r="J111" t="s">
        <v>68</v>
      </c>
      <c r="K111" t="s">
        <v>68</v>
      </c>
      <c r="L111">
        <v>0</v>
      </c>
      <c r="M111">
        <v>0</v>
      </c>
      <c r="N111">
        <v>0</v>
      </c>
      <c r="O111">
        <v>54</v>
      </c>
      <c r="P111">
        <v>935</v>
      </c>
      <c r="Q111">
        <v>1210</v>
      </c>
      <c r="R111">
        <v>1600</v>
      </c>
      <c r="S111">
        <v>525</v>
      </c>
    </row>
    <row r="112" spans="1:19" x14ac:dyDescent="0.4">
      <c r="A112" t="s">
        <v>67</v>
      </c>
      <c r="B112">
        <v>202110</v>
      </c>
      <c r="C112">
        <v>17900</v>
      </c>
      <c r="D112" t="s">
        <v>62</v>
      </c>
      <c r="E112">
        <v>0.2</v>
      </c>
      <c r="F112">
        <v>0.3</v>
      </c>
      <c r="G112">
        <v>0.1</v>
      </c>
      <c r="H112">
        <v>0.2</v>
      </c>
      <c r="I112">
        <v>0.2</v>
      </c>
      <c r="J112" t="s">
        <v>105</v>
      </c>
      <c r="K112" s="28" t="s">
        <v>305</v>
      </c>
      <c r="L112">
        <v>33</v>
      </c>
      <c r="M112">
        <v>142</v>
      </c>
      <c r="N112">
        <v>175</v>
      </c>
      <c r="O112">
        <v>5223</v>
      </c>
      <c r="P112">
        <v>0.1</v>
      </c>
      <c r="Q112">
        <v>0.7</v>
      </c>
      <c r="R112">
        <v>363</v>
      </c>
      <c r="S112">
        <v>0.1</v>
      </c>
    </row>
    <row r="113" spans="1:19" x14ac:dyDescent="0.4">
      <c r="A113" t="s">
        <v>67</v>
      </c>
      <c r="B113">
        <v>202110</v>
      </c>
      <c r="C113">
        <v>17900</v>
      </c>
      <c r="D113" t="s">
        <v>64</v>
      </c>
      <c r="E113">
        <v>1110</v>
      </c>
      <c r="F113">
        <v>1110</v>
      </c>
      <c r="G113">
        <v>1110</v>
      </c>
      <c r="H113">
        <v>1110</v>
      </c>
      <c r="I113">
        <v>1180</v>
      </c>
      <c r="J113" t="s">
        <v>101</v>
      </c>
      <c r="K113" s="28" t="s">
        <v>410</v>
      </c>
      <c r="L113">
        <v>0</v>
      </c>
      <c r="M113">
        <v>1</v>
      </c>
      <c r="N113">
        <v>1</v>
      </c>
      <c r="O113">
        <v>59</v>
      </c>
      <c r="P113">
        <v>1170</v>
      </c>
      <c r="Q113">
        <v>1310</v>
      </c>
      <c r="R113">
        <v>1760</v>
      </c>
      <c r="S113">
        <v>525</v>
      </c>
    </row>
    <row r="114" spans="1:19" x14ac:dyDescent="0.4">
      <c r="A114" t="s">
        <v>67</v>
      </c>
      <c r="B114">
        <v>202110</v>
      </c>
      <c r="C114">
        <v>18000</v>
      </c>
      <c r="D114" t="s">
        <v>62</v>
      </c>
      <c r="E114">
        <v>0.2</v>
      </c>
      <c r="F114">
        <v>0.2</v>
      </c>
      <c r="G114">
        <v>0.1</v>
      </c>
      <c r="H114">
        <v>0.2</v>
      </c>
      <c r="I114">
        <v>0.2</v>
      </c>
      <c r="J114" t="s">
        <v>70</v>
      </c>
      <c r="K114" s="28" t="s">
        <v>125</v>
      </c>
      <c r="L114">
        <v>1</v>
      </c>
      <c r="M114">
        <v>460</v>
      </c>
      <c r="N114">
        <v>461</v>
      </c>
      <c r="O114">
        <v>7099</v>
      </c>
      <c r="P114">
        <v>0.1</v>
      </c>
      <c r="Q114">
        <v>0.2</v>
      </c>
      <c r="R114">
        <v>317</v>
      </c>
      <c r="S114">
        <v>0.1</v>
      </c>
    </row>
    <row r="115" spans="1:19" x14ac:dyDescent="0.4">
      <c r="A115" t="s">
        <v>67</v>
      </c>
      <c r="B115">
        <v>202110</v>
      </c>
      <c r="C115">
        <v>18000</v>
      </c>
      <c r="D115" t="s">
        <v>64</v>
      </c>
      <c r="E115" t="s">
        <v>63</v>
      </c>
      <c r="F115" t="s">
        <v>63</v>
      </c>
      <c r="G115" t="s">
        <v>63</v>
      </c>
      <c r="H115" t="s">
        <v>63</v>
      </c>
      <c r="I115">
        <v>1280</v>
      </c>
      <c r="J115" t="s">
        <v>68</v>
      </c>
      <c r="K115" t="s">
        <v>68</v>
      </c>
      <c r="L115">
        <v>0</v>
      </c>
      <c r="M115">
        <v>0</v>
      </c>
      <c r="N115">
        <v>0</v>
      </c>
      <c r="O115">
        <v>21</v>
      </c>
      <c r="P115">
        <v>1260</v>
      </c>
      <c r="Q115">
        <v>1300</v>
      </c>
      <c r="R115">
        <v>1240</v>
      </c>
      <c r="S115">
        <v>660</v>
      </c>
    </row>
    <row r="116" spans="1:19" x14ac:dyDescent="0.4">
      <c r="A116" t="s">
        <v>67</v>
      </c>
      <c r="B116">
        <v>202110</v>
      </c>
      <c r="C116">
        <v>18100</v>
      </c>
      <c r="D116" t="s">
        <v>62</v>
      </c>
      <c r="E116">
        <v>0.5</v>
      </c>
      <c r="F116">
        <v>0.5</v>
      </c>
      <c r="G116">
        <v>0.2</v>
      </c>
      <c r="H116">
        <v>0.2</v>
      </c>
      <c r="I116">
        <v>0.2</v>
      </c>
      <c r="J116" t="s">
        <v>70</v>
      </c>
      <c r="K116" t="s">
        <v>125</v>
      </c>
      <c r="L116">
        <v>0</v>
      </c>
      <c r="M116">
        <v>11</v>
      </c>
      <c r="N116">
        <v>11</v>
      </c>
      <c r="O116">
        <v>5984</v>
      </c>
      <c r="P116">
        <v>0.1</v>
      </c>
      <c r="Q116">
        <v>0.2</v>
      </c>
      <c r="R116">
        <v>347</v>
      </c>
      <c r="S116">
        <v>0.1</v>
      </c>
    </row>
    <row r="117" spans="1:19" x14ac:dyDescent="0.4">
      <c r="A117" t="s">
        <v>67</v>
      </c>
      <c r="B117">
        <v>202110</v>
      </c>
      <c r="C117">
        <v>18100</v>
      </c>
      <c r="D117" t="s">
        <v>64</v>
      </c>
      <c r="E117" t="s">
        <v>63</v>
      </c>
      <c r="F117" t="s">
        <v>63</v>
      </c>
      <c r="G117" t="s">
        <v>63</v>
      </c>
      <c r="H117" t="s">
        <v>63</v>
      </c>
      <c r="I117">
        <v>1380</v>
      </c>
      <c r="J117" t="s">
        <v>68</v>
      </c>
      <c r="K117" t="s">
        <v>68</v>
      </c>
      <c r="L117">
        <v>6</v>
      </c>
      <c r="M117">
        <v>0</v>
      </c>
      <c r="N117">
        <v>6</v>
      </c>
      <c r="O117">
        <v>13</v>
      </c>
      <c r="P117">
        <v>1240</v>
      </c>
      <c r="Q117">
        <v>1510</v>
      </c>
      <c r="R117">
        <v>1850</v>
      </c>
      <c r="S117">
        <v>730</v>
      </c>
    </row>
    <row r="118" spans="1:19" x14ac:dyDescent="0.4">
      <c r="A118" t="s">
        <v>67</v>
      </c>
      <c r="B118">
        <v>202110</v>
      </c>
      <c r="C118">
        <v>18200</v>
      </c>
      <c r="D118" t="s">
        <v>62</v>
      </c>
      <c r="E118">
        <v>0.2</v>
      </c>
      <c r="F118">
        <v>0.2</v>
      </c>
      <c r="G118">
        <v>0.2</v>
      </c>
      <c r="H118">
        <v>0.2</v>
      </c>
      <c r="I118">
        <v>0.2</v>
      </c>
      <c r="J118" t="s">
        <v>70</v>
      </c>
      <c r="K118" s="28" t="s">
        <v>125</v>
      </c>
      <c r="L118">
        <v>2</v>
      </c>
      <c r="M118">
        <v>2</v>
      </c>
      <c r="N118">
        <v>4</v>
      </c>
      <c r="O118">
        <v>6556</v>
      </c>
      <c r="P118" t="s">
        <v>63</v>
      </c>
      <c r="Q118">
        <v>0.4</v>
      </c>
      <c r="R118">
        <v>245</v>
      </c>
      <c r="S118">
        <v>0.1</v>
      </c>
    </row>
    <row r="119" spans="1:19" x14ac:dyDescent="0.4">
      <c r="A119" t="s">
        <v>67</v>
      </c>
      <c r="B119">
        <v>202110</v>
      </c>
      <c r="C119">
        <v>18200</v>
      </c>
      <c r="D119" t="s">
        <v>64</v>
      </c>
      <c r="E119" t="s">
        <v>63</v>
      </c>
      <c r="F119" t="s">
        <v>63</v>
      </c>
      <c r="G119" t="s">
        <v>63</v>
      </c>
      <c r="H119" t="s">
        <v>63</v>
      </c>
      <c r="I119">
        <v>1480</v>
      </c>
      <c r="J119" t="s">
        <v>68</v>
      </c>
      <c r="K119" t="s">
        <v>68</v>
      </c>
      <c r="L119">
        <v>0</v>
      </c>
      <c r="M119">
        <v>0</v>
      </c>
      <c r="N119">
        <v>0</v>
      </c>
      <c r="O119">
        <v>0</v>
      </c>
      <c r="P119">
        <v>1340</v>
      </c>
      <c r="Q119">
        <v>1610</v>
      </c>
      <c r="R119">
        <v>1000</v>
      </c>
      <c r="S119">
        <v>800</v>
      </c>
    </row>
    <row r="120" spans="1:19" x14ac:dyDescent="0.4">
      <c r="A120" t="s">
        <v>67</v>
      </c>
      <c r="B120">
        <v>202110</v>
      </c>
      <c r="C120">
        <v>18300</v>
      </c>
      <c r="D120" t="s">
        <v>62</v>
      </c>
      <c r="E120" t="s">
        <v>63</v>
      </c>
      <c r="F120" t="s">
        <v>63</v>
      </c>
      <c r="G120" t="s">
        <v>63</v>
      </c>
      <c r="H120" t="s">
        <v>63</v>
      </c>
      <c r="I120">
        <v>0.2</v>
      </c>
      <c r="J120" t="s">
        <v>68</v>
      </c>
      <c r="K120" t="s">
        <v>68</v>
      </c>
      <c r="L120">
        <v>0</v>
      </c>
      <c r="M120">
        <v>0</v>
      </c>
      <c r="N120">
        <v>0</v>
      </c>
      <c r="O120">
        <v>3866</v>
      </c>
      <c r="P120">
        <v>0.1</v>
      </c>
      <c r="Q120">
        <v>0.4</v>
      </c>
      <c r="R120">
        <v>225</v>
      </c>
      <c r="S120">
        <v>0.1</v>
      </c>
    </row>
    <row r="121" spans="1:19" x14ac:dyDescent="0.4">
      <c r="A121" t="s">
        <v>67</v>
      </c>
      <c r="B121">
        <v>202110</v>
      </c>
      <c r="C121">
        <v>18300</v>
      </c>
      <c r="D121" t="s">
        <v>64</v>
      </c>
      <c r="E121" t="s">
        <v>63</v>
      </c>
      <c r="F121" t="s">
        <v>63</v>
      </c>
      <c r="G121" t="s">
        <v>63</v>
      </c>
      <c r="H121" t="s">
        <v>63</v>
      </c>
      <c r="I121">
        <v>1580</v>
      </c>
      <c r="J121" t="s">
        <v>68</v>
      </c>
      <c r="K121" t="s">
        <v>68</v>
      </c>
      <c r="L121">
        <v>0</v>
      </c>
      <c r="M121">
        <v>0</v>
      </c>
      <c r="N121">
        <v>0</v>
      </c>
      <c r="O121">
        <v>1</v>
      </c>
      <c r="P121">
        <v>1440</v>
      </c>
      <c r="Q121">
        <v>1630</v>
      </c>
      <c r="R121">
        <v>1080</v>
      </c>
      <c r="S121">
        <v>1070</v>
      </c>
    </row>
    <row r="122" spans="1:19" x14ac:dyDescent="0.4">
      <c r="A122" t="s">
        <v>67</v>
      </c>
      <c r="B122">
        <v>202110</v>
      </c>
      <c r="C122">
        <v>18400</v>
      </c>
      <c r="D122" t="s">
        <v>62</v>
      </c>
      <c r="E122" t="s">
        <v>63</v>
      </c>
      <c r="F122" t="s">
        <v>63</v>
      </c>
      <c r="G122" t="s">
        <v>63</v>
      </c>
      <c r="H122" t="s">
        <v>63</v>
      </c>
      <c r="I122">
        <v>0.1</v>
      </c>
      <c r="J122" t="s">
        <v>68</v>
      </c>
      <c r="K122" t="s">
        <v>68</v>
      </c>
      <c r="L122">
        <v>2</v>
      </c>
      <c r="M122">
        <v>0</v>
      </c>
      <c r="N122">
        <v>2</v>
      </c>
      <c r="O122">
        <v>2296</v>
      </c>
      <c r="P122" t="s">
        <v>63</v>
      </c>
      <c r="Q122">
        <v>0.5</v>
      </c>
      <c r="R122">
        <v>297</v>
      </c>
      <c r="S122">
        <v>0.1</v>
      </c>
    </row>
    <row r="123" spans="1:19" x14ac:dyDescent="0.4">
      <c r="A123" t="s">
        <v>67</v>
      </c>
      <c r="B123">
        <v>202110</v>
      </c>
      <c r="C123">
        <v>18400</v>
      </c>
      <c r="D123" t="s">
        <v>64</v>
      </c>
      <c r="E123" t="s">
        <v>63</v>
      </c>
      <c r="F123" t="s">
        <v>63</v>
      </c>
      <c r="G123" t="s">
        <v>63</v>
      </c>
      <c r="H123" t="s">
        <v>63</v>
      </c>
      <c r="I123">
        <v>1680</v>
      </c>
      <c r="J123" t="s">
        <v>68</v>
      </c>
      <c r="K123" t="s">
        <v>68</v>
      </c>
      <c r="L123">
        <v>11</v>
      </c>
      <c r="M123">
        <v>0</v>
      </c>
      <c r="N123">
        <v>11</v>
      </c>
      <c r="O123">
        <v>51</v>
      </c>
      <c r="P123">
        <v>1530</v>
      </c>
      <c r="Q123">
        <v>1810</v>
      </c>
      <c r="R123">
        <v>2030</v>
      </c>
      <c r="S123">
        <v>1010</v>
      </c>
    </row>
    <row r="124" spans="1:19" x14ac:dyDescent="0.4">
      <c r="A124" t="s">
        <v>67</v>
      </c>
      <c r="B124">
        <v>202110</v>
      </c>
      <c r="C124">
        <v>18500</v>
      </c>
      <c r="D124" t="s">
        <v>62</v>
      </c>
      <c r="E124">
        <v>0.1</v>
      </c>
      <c r="F124">
        <v>0.2</v>
      </c>
      <c r="G124">
        <v>0.1</v>
      </c>
      <c r="H124">
        <v>0.1</v>
      </c>
      <c r="I124">
        <v>0.1</v>
      </c>
      <c r="J124" t="s">
        <v>105</v>
      </c>
      <c r="K124" t="s">
        <v>411</v>
      </c>
      <c r="L124">
        <v>0</v>
      </c>
      <c r="M124">
        <v>6</v>
      </c>
      <c r="N124">
        <v>6</v>
      </c>
      <c r="O124">
        <v>2924</v>
      </c>
      <c r="P124" t="s">
        <v>63</v>
      </c>
      <c r="Q124">
        <v>0.1</v>
      </c>
      <c r="R124">
        <v>174</v>
      </c>
      <c r="S124">
        <v>0.1</v>
      </c>
    </row>
    <row r="125" spans="1:19" x14ac:dyDescent="0.4">
      <c r="A125" t="s">
        <v>67</v>
      </c>
      <c r="B125">
        <v>202110</v>
      </c>
      <c r="C125">
        <v>18500</v>
      </c>
      <c r="D125" t="s">
        <v>64</v>
      </c>
      <c r="E125" t="s">
        <v>63</v>
      </c>
      <c r="F125" t="s">
        <v>63</v>
      </c>
      <c r="G125" t="s">
        <v>63</v>
      </c>
      <c r="H125" t="s">
        <v>63</v>
      </c>
      <c r="I125">
        <v>1780</v>
      </c>
      <c r="J125" t="s">
        <v>68</v>
      </c>
      <c r="K125" t="s">
        <v>68</v>
      </c>
      <c r="L125">
        <v>0</v>
      </c>
      <c r="M125">
        <v>0</v>
      </c>
      <c r="N125">
        <v>0</v>
      </c>
      <c r="O125">
        <v>0</v>
      </c>
      <c r="P125">
        <v>1630</v>
      </c>
      <c r="Q125">
        <v>1900</v>
      </c>
      <c r="R125">
        <v>1180</v>
      </c>
      <c r="S125">
        <v>1160</v>
      </c>
    </row>
    <row r="126" spans="1:19" x14ac:dyDescent="0.4">
      <c r="A126" t="s">
        <v>67</v>
      </c>
      <c r="B126">
        <v>202110</v>
      </c>
      <c r="C126">
        <v>18600</v>
      </c>
      <c r="D126" t="s">
        <v>62</v>
      </c>
      <c r="E126" t="s">
        <v>63</v>
      </c>
      <c r="F126" t="s">
        <v>63</v>
      </c>
      <c r="G126" t="s">
        <v>63</v>
      </c>
      <c r="H126" t="s">
        <v>63</v>
      </c>
      <c r="I126">
        <v>0.1</v>
      </c>
      <c r="J126" t="s">
        <v>68</v>
      </c>
      <c r="K126" s="28" t="s">
        <v>68</v>
      </c>
      <c r="L126">
        <v>0</v>
      </c>
      <c r="M126">
        <v>0</v>
      </c>
      <c r="N126">
        <v>0</v>
      </c>
      <c r="O126">
        <v>2808</v>
      </c>
      <c r="P126" t="s">
        <v>63</v>
      </c>
      <c r="Q126">
        <v>0.4</v>
      </c>
      <c r="R126">
        <v>136</v>
      </c>
      <c r="S126">
        <v>0.2</v>
      </c>
    </row>
    <row r="127" spans="1:19" x14ac:dyDescent="0.4">
      <c r="A127" t="s">
        <v>67</v>
      </c>
      <c r="B127">
        <v>202110</v>
      </c>
      <c r="C127">
        <v>18600</v>
      </c>
      <c r="D127" t="s">
        <v>64</v>
      </c>
      <c r="E127" t="s">
        <v>63</v>
      </c>
      <c r="F127" t="s">
        <v>63</v>
      </c>
      <c r="G127" t="s">
        <v>63</v>
      </c>
      <c r="H127" t="s">
        <v>63</v>
      </c>
      <c r="I127">
        <v>1880</v>
      </c>
      <c r="J127" t="s">
        <v>68</v>
      </c>
      <c r="K127" t="s">
        <v>68</v>
      </c>
      <c r="L127">
        <v>0</v>
      </c>
      <c r="M127">
        <v>0</v>
      </c>
      <c r="N127">
        <v>0</v>
      </c>
      <c r="O127">
        <v>0</v>
      </c>
      <c r="P127">
        <v>1730</v>
      </c>
      <c r="Q127">
        <v>2000</v>
      </c>
      <c r="R127" t="s">
        <v>63</v>
      </c>
      <c r="S127" t="s">
        <v>63</v>
      </c>
    </row>
    <row r="128" spans="1:19" x14ac:dyDescent="0.4">
      <c r="A128" t="s">
        <v>67</v>
      </c>
      <c r="B128">
        <v>202110</v>
      </c>
      <c r="C128">
        <v>18700</v>
      </c>
      <c r="D128" t="s">
        <v>62</v>
      </c>
      <c r="E128">
        <v>0.1</v>
      </c>
      <c r="F128">
        <v>0.1</v>
      </c>
      <c r="G128">
        <v>0.1</v>
      </c>
      <c r="H128">
        <v>0.1</v>
      </c>
      <c r="I128">
        <v>0.1</v>
      </c>
      <c r="J128" t="s">
        <v>74</v>
      </c>
      <c r="K128" t="s">
        <v>125</v>
      </c>
      <c r="L128">
        <v>15</v>
      </c>
      <c r="M128">
        <v>1</v>
      </c>
      <c r="N128">
        <v>16</v>
      </c>
      <c r="O128">
        <v>1024</v>
      </c>
      <c r="P128" t="s">
        <v>63</v>
      </c>
      <c r="Q128">
        <v>0.3</v>
      </c>
      <c r="R128">
        <v>136</v>
      </c>
      <c r="S128">
        <v>0.1</v>
      </c>
    </row>
    <row r="129" spans="1:19" x14ac:dyDescent="0.4">
      <c r="A129" t="s">
        <v>67</v>
      </c>
      <c r="B129">
        <v>202110</v>
      </c>
      <c r="C129">
        <v>18700</v>
      </c>
      <c r="D129" t="s">
        <v>64</v>
      </c>
      <c r="E129" t="s">
        <v>63</v>
      </c>
      <c r="F129" t="s">
        <v>63</v>
      </c>
      <c r="G129" t="s">
        <v>63</v>
      </c>
      <c r="H129" t="s">
        <v>63</v>
      </c>
      <c r="I129">
        <v>1980</v>
      </c>
      <c r="J129" t="s">
        <v>68</v>
      </c>
      <c r="K129" t="s">
        <v>68</v>
      </c>
      <c r="L129">
        <v>0</v>
      </c>
      <c r="M129">
        <v>0</v>
      </c>
      <c r="N129">
        <v>0</v>
      </c>
      <c r="O129">
        <v>0</v>
      </c>
      <c r="P129">
        <v>1830</v>
      </c>
      <c r="Q129">
        <v>2100</v>
      </c>
      <c r="R129" t="s">
        <v>63</v>
      </c>
      <c r="S129" t="s">
        <v>63</v>
      </c>
    </row>
    <row r="130" spans="1:19" x14ac:dyDescent="0.4">
      <c r="A130" t="s">
        <v>67</v>
      </c>
      <c r="B130">
        <v>202110</v>
      </c>
      <c r="C130">
        <v>18800</v>
      </c>
      <c r="D130" t="s">
        <v>62</v>
      </c>
      <c r="E130" t="s">
        <v>63</v>
      </c>
      <c r="F130" t="s">
        <v>63</v>
      </c>
      <c r="G130" t="s">
        <v>63</v>
      </c>
      <c r="H130" t="s">
        <v>63</v>
      </c>
      <c r="I130">
        <v>0.1</v>
      </c>
      <c r="J130" t="s">
        <v>68</v>
      </c>
      <c r="K130" t="s">
        <v>68</v>
      </c>
      <c r="L130">
        <v>0</v>
      </c>
      <c r="M130">
        <v>0</v>
      </c>
      <c r="N130">
        <v>0</v>
      </c>
      <c r="O130">
        <v>711</v>
      </c>
      <c r="P130">
        <v>0.1</v>
      </c>
      <c r="Q130">
        <v>0.6</v>
      </c>
      <c r="R130">
        <v>120</v>
      </c>
      <c r="S130">
        <v>0.1</v>
      </c>
    </row>
    <row r="131" spans="1:19" x14ac:dyDescent="0.4">
      <c r="A131" t="s">
        <v>67</v>
      </c>
      <c r="B131">
        <v>202110</v>
      </c>
      <c r="C131">
        <v>18800</v>
      </c>
      <c r="D131" t="s">
        <v>64</v>
      </c>
      <c r="E131" t="s">
        <v>63</v>
      </c>
      <c r="F131" t="s">
        <v>63</v>
      </c>
      <c r="G131" t="s">
        <v>63</v>
      </c>
      <c r="H131" t="s">
        <v>63</v>
      </c>
      <c r="I131">
        <v>2080</v>
      </c>
      <c r="J131" t="s">
        <v>68</v>
      </c>
      <c r="K131" t="s">
        <v>68</v>
      </c>
      <c r="L131">
        <v>0</v>
      </c>
      <c r="M131">
        <v>0</v>
      </c>
      <c r="N131">
        <v>0</v>
      </c>
      <c r="O131">
        <v>0</v>
      </c>
      <c r="P131">
        <v>1930</v>
      </c>
      <c r="Q131">
        <v>2210</v>
      </c>
      <c r="R131" t="s">
        <v>63</v>
      </c>
      <c r="S131" t="s">
        <v>63</v>
      </c>
    </row>
    <row r="132" spans="1:19" x14ac:dyDescent="0.4">
      <c r="A132" t="s">
        <v>67</v>
      </c>
      <c r="B132">
        <v>202110</v>
      </c>
      <c r="C132">
        <v>18900</v>
      </c>
      <c r="D132" t="s">
        <v>62</v>
      </c>
      <c r="E132" t="s">
        <v>63</v>
      </c>
      <c r="F132" t="s">
        <v>63</v>
      </c>
      <c r="G132" t="s">
        <v>63</v>
      </c>
      <c r="H132" t="s">
        <v>63</v>
      </c>
      <c r="I132">
        <v>0.1</v>
      </c>
      <c r="J132" t="s">
        <v>68</v>
      </c>
      <c r="K132" t="s">
        <v>68</v>
      </c>
      <c r="L132">
        <v>40</v>
      </c>
      <c r="M132">
        <v>0</v>
      </c>
      <c r="N132">
        <v>40</v>
      </c>
      <c r="O132">
        <v>824</v>
      </c>
      <c r="P132" t="s">
        <v>63</v>
      </c>
      <c r="Q132">
        <v>0.6</v>
      </c>
      <c r="R132">
        <v>75</v>
      </c>
      <c r="S132">
        <v>0.1</v>
      </c>
    </row>
    <row r="133" spans="1:19" x14ac:dyDescent="0.4">
      <c r="A133" t="s">
        <v>67</v>
      </c>
      <c r="B133">
        <v>202110</v>
      </c>
      <c r="C133">
        <v>18900</v>
      </c>
      <c r="D133" t="s">
        <v>64</v>
      </c>
      <c r="E133" t="s">
        <v>63</v>
      </c>
      <c r="F133" t="s">
        <v>63</v>
      </c>
      <c r="G133" t="s">
        <v>63</v>
      </c>
      <c r="H133" t="s">
        <v>63</v>
      </c>
      <c r="I133">
        <v>2180</v>
      </c>
      <c r="J133" t="s">
        <v>68</v>
      </c>
      <c r="K133" t="s">
        <v>68</v>
      </c>
      <c r="L133">
        <v>0</v>
      </c>
      <c r="M133">
        <v>0</v>
      </c>
      <c r="N133">
        <v>0</v>
      </c>
      <c r="O133">
        <v>0</v>
      </c>
      <c r="P133">
        <v>2030</v>
      </c>
      <c r="Q133">
        <v>2310</v>
      </c>
      <c r="R133" t="s">
        <v>63</v>
      </c>
      <c r="S133" t="s">
        <v>63</v>
      </c>
    </row>
    <row r="134" spans="1:19" x14ac:dyDescent="0.4">
      <c r="A134" t="s">
        <v>67</v>
      </c>
      <c r="B134">
        <v>202110</v>
      </c>
      <c r="C134">
        <v>19000</v>
      </c>
      <c r="D134" t="s">
        <v>62</v>
      </c>
      <c r="E134">
        <v>0.1</v>
      </c>
      <c r="F134">
        <v>0.1</v>
      </c>
      <c r="G134">
        <v>0.1</v>
      </c>
      <c r="H134">
        <v>0.1</v>
      </c>
      <c r="I134">
        <v>0.1</v>
      </c>
      <c r="J134" t="s">
        <v>73</v>
      </c>
      <c r="K134" t="s">
        <v>68</v>
      </c>
      <c r="L134">
        <v>2</v>
      </c>
      <c r="M134">
        <v>1</v>
      </c>
      <c r="N134">
        <v>3</v>
      </c>
      <c r="O134">
        <v>1098</v>
      </c>
      <c r="P134">
        <v>0.1</v>
      </c>
      <c r="Q134">
        <v>0.3</v>
      </c>
      <c r="R134">
        <v>65</v>
      </c>
      <c r="S134">
        <v>0.1</v>
      </c>
    </row>
    <row r="135" spans="1:19" x14ac:dyDescent="0.4">
      <c r="A135" t="s">
        <v>67</v>
      </c>
      <c r="B135">
        <v>202110</v>
      </c>
      <c r="C135">
        <v>19000</v>
      </c>
      <c r="D135" t="s">
        <v>64</v>
      </c>
      <c r="E135" t="s">
        <v>63</v>
      </c>
      <c r="F135" t="s">
        <v>63</v>
      </c>
      <c r="G135" t="s">
        <v>63</v>
      </c>
      <c r="H135" t="s">
        <v>63</v>
      </c>
      <c r="I135">
        <v>2280</v>
      </c>
      <c r="J135" t="s">
        <v>68</v>
      </c>
      <c r="K135" t="s">
        <v>68</v>
      </c>
      <c r="L135">
        <v>0</v>
      </c>
      <c r="M135">
        <v>0</v>
      </c>
      <c r="N135">
        <v>0</v>
      </c>
      <c r="O135">
        <v>0</v>
      </c>
      <c r="P135">
        <v>2130</v>
      </c>
      <c r="Q135">
        <v>2410</v>
      </c>
      <c r="R135" t="s">
        <v>63</v>
      </c>
      <c r="S135" t="s">
        <v>63</v>
      </c>
    </row>
    <row r="136" spans="1:19" x14ac:dyDescent="0.4">
      <c r="A136" t="s">
        <v>67</v>
      </c>
      <c r="B136">
        <v>202110</v>
      </c>
      <c r="C136">
        <v>19100</v>
      </c>
      <c r="D136" t="s">
        <v>62</v>
      </c>
      <c r="E136" t="s">
        <v>63</v>
      </c>
      <c r="F136" t="s">
        <v>63</v>
      </c>
      <c r="G136" t="s">
        <v>63</v>
      </c>
      <c r="H136" t="s">
        <v>63</v>
      </c>
      <c r="I136">
        <v>0.1</v>
      </c>
      <c r="J136" t="s">
        <v>68</v>
      </c>
      <c r="K136" t="s">
        <v>68</v>
      </c>
      <c r="L136">
        <v>0</v>
      </c>
      <c r="M136">
        <v>0</v>
      </c>
      <c r="N136">
        <v>0</v>
      </c>
      <c r="O136">
        <v>168</v>
      </c>
      <c r="P136" t="s">
        <v>63</v>
      </c>
      <c r="Q136">
        <v>0.6</v>
      </c>
      <c r="R136">
        <v>57</v>
      </c>
      <c r="S136">
        <v>0.2</v>
      </c>
    </row>
    <row r="137" spans="1:19" x14ac:dyDescent="0.4">
      <c r="A137" t="s">
        <v>67</v>
      </c>
      <c r="B137">
        <v>202110</v>
      </c>
      <c r="C137">
        <v>19100</v>
      </c>
      <c r="D137" t="s">
        <v>64</v>
      </c>
      <c r="E137" t="s">
        <v>63</v>
      </c>
      <c r="F137" t="s">
        <v>63</v>
      </c>
      <c r="G137" t="s">
        <v>63</v>
      </c>
      <c r="H137" t="s">
        <v>63</v>
      </c>
      <c r="I137">
        <v>2380</v>
      </c>
      <c r="J137" t="s">
        <v>68</v>
      </c>
      <c r="K137" t="s">
        <v>68</v>
      </c>
      <c r="L137">
        <v>0</v>
      </c>
      <c r="M137">
        <v>0</v>
      </c>
      <c r="N137">
        <v>0</v>
      </c>
      <c r="O137">
        <v>0</v>
      </c>
      <c r="P137">
        <v>2230</v>
      </c>
      <c r="Q137">
        <v>2500</v>
      </c>
      <c r="R137" t="s">
        <v>63</v>
      </c>
      <c r="S137" t="s">
        <v>63</v>
      </c>
    </row>
    <row r="138" spans="1:19" x14ac:dyDescent="0.4">
      <c r="A138" t="s">
        <v>67</v>
      </c>
      <c r="B138">
        <v>202110</v>
      </c>
      <c r="C138">
        <v>19200</v>
      </c>
      <c r="D138" t="s">
        <v>62</v>
      </c>
      <c r="E138" t="s">
        <v>63</v>
      </c>
      <c r="F138" t="s">
        <v>63</v>
      </c>
      <c r="G138" t="s">
        <v>63</v>
      </c>
      <c r="H138" t="s">
        <v>63</v>
      </c>
      <c r="I138">
        <v>0.1</v>
      </c>
      <c r="J138" t="s">
        <v>68</v>
      </c>
      <c r="K138" t="s">
        <v>68</v>
      </c>
      <c r="L138">
        <v>0</v>
      </c>
      <c r="M138">
        <v>0</v>
      </c>
      <c r="N138">
        <v>0</v>
      </c>
      <c r="O138">
        <v>249</v>
      </c>
      <c r="P138" t="s">
        <v>63</v>
      </c>
      <c r="Q138">
        <v>0.1</v>
      </c>
      <c r="R138">
        <v>58</v>
      </c>
      <c r="S138">
        <v>0.2</v>
      </c>
    </row>
    <row r="139" spans="1:19" x14ac:dyDescent="0.4">
      <c r="A139" t="s">
        <v>67</v>
      </c>
      <c r="B139">
        <v>202110</v>
      </c>
      <c r="C139">
        <v>19200</v>
      </c>
      <c r="D139" t="s">
        <v>64</v>
      </c>
      <c r="E139" t="s">
        <v>63</v>
      </c>
      <c r="F139" t="s">
        <v>63</v>
      </c>
      <c r="G139" t="s">
        <v>63</v>
      </c>
      <c r="H139" t="s">
        <v>63</v>
      </c>
      <c r="I139">
        <v>2480</v>
      </c>
      <c r="J139" t="s">
        <v>68</v>
      </c>
      <c r="K139" t="s">
        <v>68</v>
      </c>
      <c r="L139">
        <v>0</v>
      </c>
      <c r="M139">
        <v>0</v>
      </c>
      <c r="N139">
        <v>0</v>
      </c>
      <c r="O139">
        <v>0</v>
      </c>
      <c r="P139">
        <v>2330</v>
      </c>
      <c r="Q139">
        <v>2600</v>
      </c>
      <c r="R139" t="s">
        <v>63</v>
      </c>
      <c r="S139" t="s">
        <v>63</v>
      </c>
    </row>
    <row r="140" spans="1:19" x14ac:dyDescent="0.4">
      <c r="A140" t="s">
        <v>67</v>
      </c>
      <c r="B140">
        <v>202110</v>
      </c>
      <c r="C140">
        <v>19300</v>
      </c>
      <c r="D140" t="s">
        <v>62</v>
      </c>
      <c r="E140" t="s">
        <v>63</v>
      </c>
      <c r="F140" t="s">
        <v>63</v>
      </c>
      <c r="G140" t="s">
        <v>63</v>
      </c>
      <c r="H140" t="s">
        <v>63</v>
      </c>
      <c r="I140">
        <v>0.1</v>
      </c>
      <c r="J140" t="s">
        <v>68</v>
      </c>
      <c r="K140" t="s">
        <v>68</v>
      </c>
      <c r="L140">
        <v>0</v>
      </c>
      <c r="M140">
        <v>0</v>
      </c>
      <c r="N140">
        <v>0</v>
      </c>
      <c r="O140">
        <v>136</v>
      </c>
      <c r="P140" t="s">
        <v>63</v>
      </c>
      <c r="Q140">
        <v>0.6</v>
      </c>
      <c r="R140">
        <v>22</v>
      </c>
      <c r="S140">
        <v>0.2</v>
      </c>
    </row>
    <row r="141" spans="1:19" x14ac:dyDescent="0.4">
      <c r="A141" t="s">
        <v>67</v>
      </c>
      <c r="B141">
        <v>202110</v>
      </c>
      <c r="C141">
        <v>19300</v>
      </c>
      <c r="D141" t="s">
        <v>64</v>
      </c>
      <c r="E141" t="s">
        <v>63</v>
      </c>
      <c r="F141" t="s">
        <v>63</v>
      </c>
      <c r="G141" t="s">
        <v>63</v>
      </c>
      <c r="H141" t="s">
        <v>63</v>
      </c>
      <c r="I141">
        <v>2580</v>
      </c>
      <c r="J141" t="s">
        <v>68</v>
      </c>
      <c r="K141" t="s">
        <v>68</v>
      </c>
      <c r="L141">
        <v>0</v>
      </c>
      <c r="M141">
        <v>0</v>
      </c>
      <c r="N141">
        <v>0</v>
      </c>
      <c r="O141">
        <v>0</v>
      </c>
      <c r="P141">
        <v>2430</v>
      </c>
      <c r="Q141">
        <v>2710</v>
      </c>
      <c r="R141" t="s">
        <v>63</v>
      </c>
      <c r="S141" t="s">
        <v>63</v>
      </c>
    </row>
    <row r="142" spans="1:19" x14ac:dyDescent="0.4">
      <c r="A142" t="s">
        <v>67</v>
      </c>
      <c r="B142">
        <v>202110</v>
      </c>
      <c r="C142">
        <v>19400</v>
      </c>
      <c r="D142" t="s">
        <v>62</v>
      </c>
      <c r="E142" t="s">
        <v>63</v>
      </c>
      <c r="F142" t="s">
        <v>63</v>
      </c>
      <c r="G142" t="s">
        <v>63</v>
      </c>
      <c r="H142" t="s">
        <v>63</v>
      </c>
      <c r="I142">
        <v>0.1</v>
      </c>
      <c r="J142" t="s">
        <v>68</v>
      </c>
      <c r="K142" t="s">
        <v>68</v>
      </c>
      <c r="L142">
        <v>0</v>
      </c>
      <c r="M142">
        <v>0</v>
      </c>
      <c r="N142">
        <v>0</v>
      </c>
      <c r="O142">
        <v>219</v>
      </c>
      <c r="P142" t="s">
        <v>63</v>
      </c>
      <c r="Q142">
        <v>0.6</v>
      </c>
      <c r="R142">
        <v>55</v>
      </c>
      <c r="S142">
        <v>0.4</v>
      </c>
    </row>
    <row r="143" spans="1:19" x14ac:dyDescent="0.4">
      <c r="A143" t="s">
        <v>67</v>
      </c>
      <c r="B143">
        <v>202110</v>
      </c>
      <c r="C143">
        <v>19400</v>
      </c>
      <c r="D143" t="s">
        <v>64</v>
      </c>
      <c r="E143" t="s">
        <v>63</v>
      </c>
      <c r="F143" t="s">
        <v>63</v>
      </c>
      <c r="G143" t="s">
        <v>63</v>
      </c>
      <c r="H143" t="s">
        <v>63</v>
      </c>
      <c r="I143">
        <v>2680</v>
      </c>
      <c r="J143" t="s">
        <v>68</v>
      </c>
      <c r="K143" t="s">
        <v>68</v>
      </c>
      <c r="L143">
        <v>0</v>
      </c>
      <c r="M143">
        <v>0</v>
      </c>
      <c r="N143">
        <v>0</v>
      </c>
      <c r="O143">
        <v>0</v>
      </c>
      <c r="P143">
        <v>2530</v>
      </c>
      <c r="Q143">
        <v>2800</v>
      </c>
      <c r="R143" t="s">
        <v>63</v>
      </c>
      <c r="S143" t="s">
        <v>63</v>
      </c>
    </row>
    <row r="144" spans="1:19" x14ac:dyDescent="0.4">
      <c r="A144" t="s">
        <v>67</v>
      </c>
      <c r="B144">
        <v>202110</v>
      </c>
      <c r="C144">
        <v>19500</v>
      </c>
      <c r="D144" t="s">
        <v>62</v>
      </c>
      <c r="E144" t="s">
        <v>63</v>
      </c>
      <c r="F144" t="s">
        <v>63</v>
      </c>
      <c r="G144" t="s">
        <v>63</v>
      </c>
      <c r="H144" t="s">
        <v>63</v>
      </c>
      <c r="I144">
        <v>0.1</v>
      </c>
      <c r="J144" t="s">
        <v>68</v>
      </c>
      <c r="K144" t="s">
        <v>68</v>
      </c>
      <c r="L144">
        <v>0</v>
      </c>
      <c r="M144">
        <v>0</v>
      </c>
      <c r="N144">
        <v>0</v>
      </c>
      <c r="O144">
        <v>122</v>
      </c>
      <c r="P144" t="s">
        <v>63</v>
      </c>
      <c r="Q144">
        <v>0.6</v>
      </c>
      <c r="R144">
        <v>42</v>
      </c>
      <c r="S144">
        <v>0.2</v>
      </c>
    </row>
    <row r="145" spans="1:19" x14ac:dyDescent="0.4">
      <c r="A145" t="s">
        <v>67</v>
      </c>
      <c r="B145">
        <v>202110</v>
      </c>
      <c r="C145">
        <v>19500</v>
      </c>
      <c r="D145" t="s">
        <v>64</v>
      </c>
      <c r="E145" t="s">
        <v>63</v>
      </c>
      <c r="F145" t="s">
        <v>63</v>
      </c>
      <c r="G145" t="s">
        <v>63</v>
      </c>
      <c r="H145" t="s">
        <v>63</v>
      </c>
      <c r="I145">
        <v>2780</v>
      </c>
      <c r="J145" t="s">
        <v>68</v>
      </c>
      <c r="K145" t="s">
        <v>68</v>
      </c>
      <c r="L145">
        <v>0</v>
      </c>
      <c r="M145">
        <v>0</v>
      </c>
      <c r="N145">
        <v>0</v>
      </c>
      <c r="O145">
        <v>0</v>
      </c>
      <c r="P145">
        <v>2630</v>
      </c>
      <c r="Q145">
        <v>2910</v>
      </c>
      <c r="R145" t="s">
        <v>63</v>
      </c>
      <c r="S145" t="s">
        <v>63</v>
      </c>
    </row>
    <row r="146" spans="1:19" x14ac:dyDescent="0.4">
      <c r="A146" t="s">
        <v>67</v>
      </c>
      <c r="B146">
        <v>202110</v>
      </c>
      <c r="C146">
        <v>19600</v>
      </c>
      <c r="D146" t="s">
        <v>62</v>
      </c>
      <c r="E146" t="s">
        <v>63</v>
      </c>
      <c r="F146" t="s">
        <v>63</v>
      </c>
      <c r="G146" t="s">
        <v>63</v>
      </c>
      <c r="H146" t="s">
        <v>63</v>
      </c>
      <c r="I146">
        <v>0.1</v>
      </c>
      <c r="J146" t="s">
        <v>68</v>
      </c>
      <c r="K146" t="s">
        <v>68</v>
      </c>
      <c r="L146">
        <v>0</v>
      </c>
      <c r="M146">
        <v>0</v>
      </c>
      <c r="N146">
        <v>0</v>
      </c>
      <c r="O146">
        <v>39</v>
      </c>
      <c r="P146" t="s">
        <v>63</v>
      </c>
      <c r="Q146">
        <v>0.6</v>
      </c>
      <c r="R146">
        <v>36.5</v>
      </c>
      <c r="S146">
        <v>0.1</v>
      </c>
    </row>
    <row r="147" spans="1:19" x14ac:dyDescent="0.4">
      <c r="A147" t="s">
        <v>67</v>
      </c>
      <c r="B147">
        <v>202110</v>
      </c>
      <c r="C147">
        <v>19600</v>
      </c>
      <c r="D147" t="s">
        <v>64</v>
      </c>
      <c r="E147" t="s">
        <v>63</v>
      </c>
      <c r="F147" t="s">
        <v>63</v>
      </c>
      <c r="G147" t="s">
        <v>63</v>
      </c>
      <c r="H147" t="s">
        <v>63</v>
      </c>
      <c r="I147">
        <v>2880</v>
      </c>
      <c r="J147" t="s">
        <v>68</v>
      </c>
      <c r="K147" t="s">
        <v>68</v>
      </c>
      <c r="L147">
        <v>0</v>
      </c>
      <c r="M147">
        <v>0</v>
      </c>
      <c r="N147">
        <v>0</v>
      </c>
      <c r="O147">
        <v>0</v>
      </c>
      <c r="P147">
        <v>2730</v>
      </c>
      <c r="Q147">
        <v>3010</v>
      </c>
      <c r="R147" t="s">
        <v>63</v>
      </c>
      <c r="S147" t="s">
        <v>63</v>
      </c>
    </row>
    <row r="148" spans="1:19" x14ac:dyDescent="0.4">
      <c r="A148" t="s">
        <v>67</v>
      </c>
      <c r="B148">
        <v>202110</v>
      </c>
      <c r="C148">
        <v>19700</v>
      </c>
      <c r="D148" t="s">
        <v>62</v>
      </c>
      <c r="E148" t="s">
        <v>63</v>
      </c>
      <c r="F148" t="s">
        <v>63</v>
      </c>
      <c r="G148" t="s">
        <v>63</v>
      </c>
      <c r="H148" t="s">
        <v>63</v>
      </c>
      <c r="I148">
        <v>0.1</v>
      </c>
      <c r="J148" t="s">
        <v>68</v>
      </c>
      <c r="K148" t="s">
        <v>68</v>
      </c>
      <c r="L148">
        <v>0</v>
      </c>
      <c r="M148">
        <v>0</v>
      </c>
      <c r="N148">
        <v>0</v>
      </c>
      <c r="O148">
        <v>72</v>
      </c>
      <c r="P148" t="s">
        <v>63</v>
      </c>
      <c r="Q148">
        <v>0.6</v>
      </c>
      <c r="R148">
        <v>113</v>
      </c>
      <c r="S148">
        <v>0.1</v>
      </c>
    </row>
    <row r="149" spans="1:19" x14ac:dyDescent="0.4">
      <c r="A149" t="s">
        <v>67</v>
      </c>
      <c r="B149">
        <v>202110</v>
      </c>
      <c r="C149">
        <v>19700</v>
      </c>
      <c r="D149" t="s">
        <v>64</v>
      </c>
      <c r="E149" t="s">
        <v>63</v>
      </c>
      <c r="F149" t="s">
        <v>63</v>
      </c>
      <c r="G149" t="s">
        <v>63</v>
      </c>
      <c r="H149" t="s">
        <v>63</v>
      </c>
      <c r="I149">
        <v>2980</v>
      </c>
      <c r="J149" t="s">
        <v>68</v>
      </c>
      <c r="K149" t="s">
        <v>68</v>
      </c>
      <c r="L149">
        <v>0</v>
      </c>
      <c r="M149">
        <v>0</v>
      </c>
      <c r="N149">
        <v>0</v>
      </c>
      <c r="O149">
        <v>0</v>
      </c>
      <c r="P149">
        <v>2830</v>
      </c>
      <c r="Q149">
        <v>3100</v>
      </c>
      <c r="R149" t="s">
        <v>63</v>
      </c>
      <c r="S149" t="s">
        <v>63</v>
      </c>
    </row>
    <row r="150" spans="1:19" x14ac:dyDescent="0.4">
      <c r="A150" t="s">
        <v>67</v>
      </c>
      <c r="B150">
        <v>202110</v>
      </c>
      <c r="C150">
        <v>19800</v>
      </c>
      <c r="D150" t="s">
        <v>62</v>
      </c>
      <c r="E150" t="s">
        <v>63</v>
      </c>
      <c r="F150" t="s">
        <v>63</v>
      </c>
      <c r="G150" t="s">
        <v>63</v>
      </c>
      <c r="H150" t="s">
        <v>63</v>
      </c>
      <c r="I150">
        <v>0.1</v>
      </c>
      <c r="J150" t="s">
        <v>68</v>
      </c>
      <c r="K150" t="s">
        <v>68</v>
      </c>
      <c r="L150">
        <v>0</v>
      </c>
      <c r="M150">
        <v>0</v>
      </c>
      <c r="N150">
        <v>0</v>
      </c>
      <c r="O150">
        <v>82</v>
      </c>
      <c r="P150" t="s">
        <v>63</v>
      </c>
      <c r="Q150">
        <v>0.6</v>
      </c>
      <c r="R150">
        <v>32.5</v>
      </c>
      <c r="S150">
        <v>1.4</v>
      </c>
    </row>
    <row r="151" spans="1:19" x14ac:dyDescent="0.4">
      <c r="A151" t="s">
        <v>67</v>
      </c>
      <c r="B151">
        <v>202110</v>
      </c>
      <c r="C151">
        <v>19800</v>
      </c>
      <c r="D151" t="s">
        <v>64</v>
      </c>
      <c r="E151" t="s">
        <v>63</v>
      </c>
      <c r="F151" t="s">
        <v>63</v>
      </c>
      <c r="G151" t="s">
        <v>63</v>
      </c>
      <c r="H151" t="s">
        <v>63</v>
      </c>
      <c r="I151">
        <v>3080</v>
      </c>
      <c r="J151" t="s">
        <v>68</v>
      </c>
      <c r="K151" t="s">
        <v>68</v>
      </c>
      <c r="L151">
        <v>0</v>
      </c>
      <c r="M151">
        <v>0</v>
      </c>
      <c r="N151">
        <v>0</v>
      </c>
      <c r="O151">
        <v>0</v>
      </c>
      <c r="P151">
        <v>2930</v>
      </c>
      <c r="Q151">
        <v>3210</v>
      </c>
      <c r="R151" t="s">
        <v>63</v>
      </c>
      <c r="S151" t="s">
        <v>63</v>
      </c>
    </row>
    <row r="152" spans="1:19" x14ac:dyDescent="0.4">
      <c r="A152" t="s">
        <v>67</v>
      </c>
      <c r="B152">
        <v>202110</v>
      </c>
      <c r="C152">
        <v>19900</v>
      </c>
      <c r="D152" t="s">
        <v>62</v>
      </c>
      <c r="E152" t="s">
        <v>63</v>
      </c>
      <c r="F152" t="s">
        <v>63</v>
      </c>
      <c r="G152" t="s">
        <v>63</v>
      </c>
      <c r="H152" t="s">
        <v>63</v>
      </c>
      <c r="I152">
        <v>0.1</v>
      </c>
      <c r="J152" t="s">
        <v>68</v>
      </c>
      <c r="K152" t="s">
        <v>68</v>
      </c>
      <c r="L152">
        <v>0</v>
      </c>
      <c r="M152">
        <v>0</v>
      </c>
      <c r="N152">
        <v>0</v>
      </c>
      <c r="O152">
        <v>64</v>
      </c>
      <c r="P152" t="s">
        <v>63</v>
      </c>
      <c r="Q152">
        <v>0.6</v>
      </c>
      <c r="R152">
        <v>22</v>
      </c>
      <c r="S152">
        <v>0.6</v>
      </c>
    </row>
    <row r="153" spans="1:19" x14ac:dyDescent="0.4">
      <c r="A153" t="s">
        <v>67</v>
      </c>
      <c r="B153">
        <v>202110</v>
      </c>
      <c r="C153">
        <v>19900</v>
      </c>
      <c r="D153" t="s">
        <v>64</v>
      </c>
      <c r="E153" t="s">
        <v>63</v>
      </c>
      <c r="F153" t="s">
        <v>63</v>
      </c>
      <c r="G153" t="s">
        <v>63</v>
      </c>
      <c r="H153" t="s">
        <v>63</v>
      </c>
      <c r="I153">
        <v>3180</v>
      </c>
      <c r="J153" t="s">
        <v>68</v>
      </c>
      <c r="K153" t="s">
        <v>68</v>
      </c>
      <c r="L153">
        <v>0</v>
      </c>
      <c r="M153">
        <v>0</v>
      </c>
      <c r="N153">
        <v>0</v>
      </c>
      <c r="O153">
        <v>0</v>
      </c>
      <c r="P153">
        <v>3030</v>
      </c>
      <c r="Q153">
        <v>3310</v>
      </c>
      <c r="R153" t="s">
        <v>63</v>
      </c>
      <c r="S153" t="s">
        <v>63</v>
      </c>
    </row>
    <row r="154" spans="1:19" x14ac:dyDescent="0.4">
      <c r="A154" t="s">
        <v>67</v>
      </c>
      <c r="B154">
        <v>202110</v>
      </c>
      <c r="C154">
        <v>20000</v>
      </c>
      <c r="D154" t="s">
        <v>62</v>
      </c>
      <c r="E154" t="s">
        <v>63</v>
      </c>
      <c r="F154" t="s">
        <v>63</v>
      </c>
      <c r="G154" t="s">
        <v>63</v>
      </c>
      <c r="H154" t="s">
        <v>63</v>
      </c>
      <c r="I154">
        <v>0.1</v>
      </c>
      <c r="J154" t="s">
        <v>68</v>
      </c>
      <c r="K154" t="s">
        <v>68</v>
      </c>
      <c r="L154">
        <v>0</v>
      </c>
      <c r="M154">
        <v>0</v>
      </c>
      <c r="N154">
        <v>0</v>
      </c>
      <c r="O154">
        <v>405</v>
      </c>
      <c r="P154" t="s">
        <v>63</v>
      </c>
      <c r="Q154">
        <v>0.6</v>
      </c>
      <c r="R154">
        <v>165</v>
      </c>
      <c r="S154">
        <v>0.1</v>
      </c>
    </row>
    <row r="155" spans="1:19" x14ac:dyDescent="0.4">
      <c r="A155" t="s">
        <v>67</v>
      </c>
      <c r="B155">
        <v>202110</v>
      </c>
      <c r="C155">
        <v>20000</v>
      </c>
      <c r="D155" t="s">
        <v>64</v>
      </c>
      <c r="E155" t="s">
        <v>63</v>
      </c>
      <c r="F155" t="s">
        <v>63</v>
      </c>
      <c r="G155" t="s">
        <v>63</v>
      </c>
      <c r="H155" t="s">
        <v>63</v>
      </c>
      <c r="I155">
        <v>3280</v>
      </c>
      <c r="J155" t="s">
        <v>68</v>
      </c>
      <c r="K155" t="s">
        <v>68</v>
      </c>
      <c r="L155">
        <v>0</v>
      </c>
      <c r="M155">
        <v>0</v>
      </c>
      <c r="N155">
        <v>0</v>
      </c>
      <c r="O155">
        <v>0</v>
      </c>
      <c r="P155">
        <v>3130</v>
      </c>
      <c r="Q155">
        <v>3410</v>
      </c>
      <c r="R155" t="s">
        <v>63</v>
      </c>
      <c r="S155" t="s">
        <v>63</v>
      </c>
    </row>
    <row r="156" spans="1:19" x14ac:dyDescent="0.4">
      <c r="A156" t="s">
        <v>67</v>
      </c>
      <c r="B156">
        <v>202110</v>
      </c>
      <c r="C156">
        <v>20100</v>
      </c>
      <c r="D156" t="s">
        <v>62</v>
      </c>
      <c r="E156" t="s">
        <v>63</v>
      </c>
      <c r="F156" t="s">
        <v>63</v>
      </c>
      <c r="G156" t="s">
        <v>63</v>
      </c>
      <c r="H156" t="s">
        <v>63</v>
      </c>
      <c r="I156">
        <v>0.1</v>
      </c>
      <c r="J156" t="s">
        <v>68</v>
      </c>
      <c r="K156" s="28" t="s">
        <v>68</v>
      </c>
      <c r="L156">
        <v>0</v>
      </c>
      <c r="M156">
        <v>0</v>
      </c>
      <c r="N156">
        <v>0</v>
      </c>
      <c r="O156">
        <v>619</v>
      </c>
      <c r="P156" t="s">
        <v>63</v>
      </c>
      <c r="Q156">
        <v>0.6</v>
      </c>
      <c r="R156">
        <v>170</v>
      </c>
      <c r="S156">
        <v>0.1</v>
      </c>
    </row>
    <row r="157" spans="1:19" x14ac:dyDescent="0.4">
      <c r="A157" t="s">
        <v>67</v>
      </c>
      <c r="B157">
        <v>202110</v>
      </c>
      <c r="C157">
        <v>20100</v>
      </c>
      <c r="D157" t="s">
        <v>64</v>
      </c>
      <c r="E157" t="s">
        <v>63</v>
      </c>
      <c r="F157" t="s">
        <v>63</v>
      </c>
      <c r="G157" t="s">
        <v>63</v>
      </c>
      <c r="H157" t="s">
        <v>63</v>
      </c>
      <c r="I157">
        <v>3380</v>
      </c>
      <c r="J157" t="s">
        <v>68</v>
      </c>
      <c r="K157" t="s">
        <v>68</v>
      </c>
      <c r="L157">
        <v>0</v>
      </c>
      <c r="M157">
        <v>0</v>
      </c>
      <c r="N157">
        <v>0</v>
      </c>
      <c r="O157">
        <v>0</v>
      </c>
      <c r="P157">
        <v>3230</v>
      </c>
      <c r="Q157">
        <v>3500</v>
      </c>
      <c r="R157" t="s">
        <v>63</v>
      </c>
      <c r="S157" t="s">
        <v>63</v>
      </c>
    </row>
    <row r="158" spans="1:19" x14ac:dyDescent="0.4">
      <c r="A158" t="s">
        <v>67</v>
      </c>
      <c r="B158">
        <v>202110</v>
      </c>
      <c r="C158">
        <v>20200</v>
      </c>
      <c r="D158" t="s">
        <v>62</v>
      </c>
      <c r="E158" t="s">
        <v>63</v>
      </c>
      <c r="F158" t="s">
        <v>63</v>
      </c>
      <c r="G158" t="s">
        <v>63</v>
      </c>
      <c r="H158" t="s">
        <v>63</v>
      </c>
      <c r="I158">
        <v>0.1</v>
      </c>
      <c r="J158" t="s">
        <v>68</v>
      </c>
      <c r="K158" t="s">
        <v>68</v>
      </c>
      <c r="L158">
        <v>22</v>
      </c>
      <c r="M158">
        <v>0</v>
      </c>
      <c r="N158">
        <v>22</v>
      </c>
      <c r="O158">
        <v>1674</v>
      </c>
      <c r="P158" t="s">
        <v>63</v>
      </c>
      <c r="Q158">
        <v>0.6</v>
      </c>
      <c r="R158">
        <v>168</v>
      </c>
      <c r="S158">
        <v>0.1</v>
      </c>
    </row>
    <row r="159" spans="1:19" x14ac:dyDescent="0.4">
      <c r="A159" t="s">
        <v>67</v>
      </c>
      <c r="B159">
        <v>202110</v>
      </c>
      <c r="C159">
        <v>20200</v>
      </c>
      <c r="D159" t="s">
        <v>64</v>
      </c>
      <c r="E159" t="s">
        <v>63</v>
      </c>
      <c r="F159" t="s">
        <v>63</v>
      </c>
      <c r="G159" t="s">
        <v>63</v>
      </c>
      <c r="H159" t="s">
        <v>63</v>
      </c>
      <c r="I159">
        <v>3480</v>
      </c>
      <c r="J159" t="s">
        <v>68</v>
      </c>
      <c r="K159" t="s">
        <v>68</v>
      </c>
      <c r="L159">
        <v>0</v>
      </c>
      <c r="M159">
        <v>0</v>
      </c>
      <c r="N159">
        <v>0</v>
      </c>
      <c r="O159">
        <v>0</v>
      </c>
      <c r="P159">
        <v>3330</v>
      </c>
      <c r="Q159">
        <v>3600</v>
      </c>
      <c r="R159" t="s">
        <v>63</v>
      </c>
      <c r="S159" t="s">
        <v>63</v>
      </c>
    </row>
    <row r="160" spans="1:19" x14ac:dyDescent="0.4">
      <c r="A160" t="s">
        <v>67</v>
      </c>
      <c r="B160">
        <v>202110</v>
      </c>
      <c r="C160">
        <v>20300</v>
      </c>
      <c r="D160" t="s">
        <v>62</v>
      </c>
      <c r="E160">
        <v>0.6</v>
      </c>
      <c r="F160">
        <v>0.6</v>
      </c>
      <c r="G160">
        <v>0.1</v>
      </c>
      <c r="H160">
        <v>0.1</v>
      </c>
      <c r="I160">
        <v>0.1</v>
      </c>
      <c r="J160" t="s">
        <v>73</v>
      </c>
      <c r="K160" t="s">
        <v>68</v>
      </c>
      <c r="L160">
        <v>436</v>
      </c>
      <c r="M160">
        <v>277</v>
      </c>
      <c r="N160">
        <v>713</v>
      </c>
      <c r="O160">
        <v>4081</v>
      </c>
      <c r="P160" t="s">
        <v>63</v>
      </c>
      <c r="Q160">
        <v>0.3</v>
      </c>
      <c r="R160">
        <v>23</v>
      </c>
      <c r="S160">
        <v>0.1</v>
      </c>
    </row>
    <row r="161" spans="1:19" x14ac:dyDescent="0.4">
      <c r="A161" t="s">
        <v>67</v>
      </c>
      <c r="B161">
        <v>202110</v>
      </c>
      <c r="C161">
        <v>20300</v>
      </c>
      <c r="D161" t="s">
        <v>64</v>
      </c>
      <c r="E161" t="s">
        <v>63</v>
      </c>
      <c r="F161" t="s">
        <v>63</v>
      </c>
      <c r="G161" t="s">
        <v>63</v>
      </c>
      <c r="H161" t="s">
        <v>63</v>
      </c>
      <c r="I161">
        <v>3580</v>
      </c>
      <c r="J161" t="s">
        <v>68</v>
      </c>
      <c r="K161" t="s">
        <v>68</v>
      </c>
      <c r="L161">
        <v>0</v>
      </c>
      <c r="M161">
        <v>0</v>
      </c>
      <c r="N161">
        <v>0</v>
      </c>
      <c r="O161">
        <v>0</v>
      </c>
      <c r="P161">
        <v>3430</v>
      </c>
      <c r="Q161">
        <v>3710</v>
      </c>
      <c r="R161" t="s">
        <v>63</v>
      </c>
      <c r="S161" t="s">
        <v>63</v>
      </c>
    </row>
    <row r="162" spans="1:19" x14ac:dyDescent="0.4">
      <c r="A162" t="s">
        <v>67</v>
      </c>
      <c r="B162">
        <v>202111</v>
      </c>
      <c r="C162">
        <v>13800</v>
      </c>
      <c r="D162" t="s">
        <v>62</v>
      </c>
      <c r="E162" t="s">
        <v>63</v>
      </c>
      <c r="F162" t="s">
        <v>63</v>
      </c>
      <c r="G162" t="s">
        <v>63</v>
      </c>
      <c r="H162" t="s">
        <v>63</v>
      </c>
      <c r="I162">
        <v>2900</v>
      </c>
      <c r="J162" t="s">
        <v>68</v>
      </c>
      <c r="K162" t="s">
        <v>68</v>
      </c>
      <c r="L162">
        <v>0</v>
      </c>
      <c r="M162">
        <v>0</v>
      </c>
      <c r="N162">
        <v>0</v>
      </c>
      <c r="O162">
        <v>4</v>
      </c>
      <c r="P162">
        <v>2770</v>
      </c>
      <c r="Q162">
        <v>3070</v>
      </c>
      <c r="R162">
        <v>3500</v>
      </c>
      <c r="S162">
        <v>3100</v>
      </c>
    </row>
    <row r="163" spans="1:19" x14ac:dyDescent="0.4">
      <c r="A163" t="s">
        <v>67</v>
      </c>
      <c r="B163">
        <v>202111</v>
      </c>
      <c r="C163">
        <v>13800</v>
      </c>
      <c r="D163" t="s">
        <v>64</v>
      </c>
      <c r="E163">
        <v>14</v>
      </c>
      <c r="F163">
        <v>15.5</v>
      </c>
      <c r="G163">
        <v>11.5</v>
      </c>
      <c r="H163">
        <v>15</v>
      </c>
      <c r="I163">
        <v>15</v>
      </c>
      <c r="J163" t="s">
        <v>76</v>
      </c>
      <c r="K163" t="s">
        <v>412</v>
      </c>
      <c r="L163">
        <v>65</v>
      </c>
      <c r="M163">
        <v>437</v>
      </c>
      <c r="N163">
        <v>502</v>
      </c>
      <c r="O163">
        <v>2160</v>
      </c>
      <c r="P163">
        <v>15</v>
      </c>
      <c r="Q163">
        <v>15.5</v>
      </c>
      <c r="R163">
        <v>100</v>
      </c>
      <c r="S163">
        <v>11.5</v>
      </c>
    </row>
    <row r="164" spans="1:19" x14ac:dyDescent="0.4">
      <c r="A164" t="s">
        <v>67</v>
      </c>
      <c r="B164">
        <v>202111</v>
      </c>
      <c r="C164">
        <v>13900</v>
      </c>
      <c r="D164" t="s">
        <v>62</v>
      </c>
      <c r="E164" t="s">
        <v>63</v>
      </c>
      <c r="F164" t="s">
        <v>63</v>
      </c>
      <c r="G164" t="s">
        <v>63</v>
      </c>
      <c r="H164" t="s">
        <v>63</v>
      </c>
      <c r="I164">
        <v>2810</v>
      </c>
      <c r="J164" t="s">
        <v>68</v>
      </c>
      <c r="K164" t="s">
        <v>68</v>
      </c>
      <c r="L164">
        <v>0</v>
      </c>
      <c r="M164">
        <v>0</v>
      </c>
      <c r="N164">
        <v>0</v>
      </c>
      <c r="O164">
        <v>0</v>
      </c>
      <c r="P164">
        <v>2680</v>
      </c>
      <c r="Q164">
        <v>2950</v>
      </c>
      <c r="R164" t="s">
        <v>63</v>
      </c>
      <c r="S164" t="s">
        <v>63</v>
      </c>
    </row>
    <row r="165" spans="1:19" x14ac:dyDescent="0.4">
      <c r="A165" t="s">
        <v>67</v>
      </c>
      <c r="B165">
        <v>202111</v>
      </c>
      <c r="C165">
        <v>13900</v>
      </c>
      <c r="D165" t="s">
        <v>64</v>
      </c>
      <c r="E165">
        <v>14</v>
      </c>
      <c r="F165">
        <v>16.5</v>
      </c>
      <c r="G165">
        <v>14</v>
      </c>
      <c r="H165">
        <v>16.5</v>
      </c>
      <c r="I165">
        <v>16.5</v>
      </c>
      <c r="J165" t="s">
        <v>72</v>
      </c>
      <c r="K165" t="s">
        <v>413</v>
      </c>
      <c r="L165">
        <v>60</v>
      </c>
      <c r="M165">
        <v>19</v>
      </c>
      <c r="N165">
        <v>79</v>
      </c>
      <c r="O165">
        <v>396</v>
      </c>
      <c r="P165">
        <v>15</v>
      </c>
      <c r="Q165">
        <v>17</v>
      </c>
      <c r="R165">
        <v>188</v>
      </c>
      <c r="S165">
        <v>13.5</v>
      </c>
    </row>
    <row r="166" spans="1:19" x14ac:dyDescent="0.4">
      <c r="A166" t="s">
        <v>67</v>
      </c>
      <c r="B166">
        <v>202111</v>
      </c>
      <c r="C166">
        <v>14000</v>
      </c>
      <c r="D166" t="s">
        <v>62</v>
      </c>
      <c r="E166" t="s">
        <v>63</v>
      </c>
      <c r="F166" t="s">
        <v>63</v>
      </c>
      <c r="G166" t="s">
        <v>63</v>
      </c>
      <c r="H166" t="s">
        <v>63</v>
      </c>
      <c r="I166">
        <v>2710</v>
      </c>
      <c r="J166" t="s">
        <v>68</v>
      </c>
      <c r="K166" t="s">
        <v>68</v>
      </c>
      <c r="L166">
        <v>0</v>
      </c>
      <c r="M166">
        <v>0</v>
      </c>
      <c r="N166">
        <v>0</v>
      </c>
      <c r="O166">
        <v>0</v>
      </c>
      <c r="P166">
        <v>2580</v>
      </c>
      <c r="Q166">
        <v>2850</v>
      </c>
      <c r="R166" t="s">
        <v>63</v>
      </c>
      <c r="S166" t="s">
        <v>63</v>
      </c>
    </row>
    <row r="167" spans="1:19" x14ac:dyDescent="0.4">
      <c r="A167" t="s">
        <v>67</v>
      </c>
      <c r="B167">
        <v>202111</v>
      </c>
      <c r="C167">
        <v>14000</v>
      </c>
      <c r="D167" t="s">
        <v>64</v>
      </c>
      <c r="E167">
        <v>15</v>
      </c>
      <c r="F167">
        <v>18</v>
      </c>
      <c r="G167">
        <v>15</v>
      </c>
      <c r="H167">
        <v>18</v>
      </c>
      <c r="I167">
        <v>18</v>
      </c>
      <c r="J167" t="s">
        <v>73</v>
      </c>
      <c r="K167" s="28">
        <v>0</v>
      </c>
      <c r="L167">
        <v>24</v>
      </c>
      <c r="M167">
        <v>73</v>
      </c>
      <c r="N167">
        <v>97</v>
      </c>
      <c r="O167">
        <v>761</v>
      </c>
      <c r="P167">
        <v>17.5</v>
      </c>
      <c r="Q167">
        <v>18.5</v>
      </c>
      <c r="R167">
        <v>147</v>
      </c>
      <c r="S167">
        <v>15</v>
      </c>
    </row>
    <row r="168" spans="1:19" x14ac:dyDescent="0.4">
      <c r="A168" t="s">
        <v>67</v>
      </c>
      <c r="B168">
        <v>202111</v>
      </c>
      <c r="C168">
        <v>14100</v>
      </c>
      <c r="D168" t="s">
        <v>62</v>
      </c>
      <c r="E168" t="s">
        <v>63</v>
      </c>
      <c r="F168" t="s">
        <v>63</v>
      </c>
      <c r="G168" t="s">
        <v>63</v>
      </c>
      <c r="H168" t="s">
        <v>63</v>
      </c>
      <c r="I168">
        <v>2610</v>
      </c>
      <c r="J168" t="s">
        <v>68</v>
      </c>
      <c r="K168" t="s">
        <v>68</v>
      </c>
      <c r="L168">
        <v>0</v>
      </c>
      <c r="M168">
        <v>0</v>
      </c>
      <c r="N168">
        <v>0</v>
      </c>
      <c r="O168">
        <v>0</v>
      </c>
      <c r="P168">
        <v>2480</v>
      </c>
      <c r="Q168">
        <v>2760</v>
      </c>
      <c r="R168" t="s">
        <v>63</v>
      </c>
      <c r="S168" t="s">
        <v>63</v>
      </c>
    </row>
    <row r="169" spans="1:19" x14ac:dyDescent="0.4">
      <c r="A169" t="s">
        <v>67</v>
      </c>
      <c r="B169">
        <v>202111</v>
      </c>
      <c r="C169">
        <v>14100</v>
      </c>
      <c r="D169" t="s">
        <v>64</v>
      </c>
      <c r="E169">
        <v>17</v>
      </c>
      <c r="F169">
        <v>19.5</v>
      </c>
      <c r="G169">
        <v>17</v>
      </c>
      <c r="H169">
        <v>19.5</v>
      </c>
      <c r="I169">
        <v>19.5</v>
      </c>
      <c r="J169" t="s">
        <v>72</v>
      </c>
      <c r="K169" t="s">
        <v>414</v>
      </c>
      <c r="L169">
        <v>0</v>
      </c>
      <c r="M169">
        <v>17</v>
      </c>
      <c r="N169">
        <v>17</v>
      </c>
      <c r="O169">
        <v>157</v>
      </c>
      <c r="P169">
        <v>18.5</v>
      </c>
      <c r="Q169">
        <v>20</v>
      </c>
      <c r="R169">
        <v>98</v>
      </c>
      <c r="S169">
        <v>17</v>
      </c>
    </row>
    <row r="170" spans="1:19" x14ac:dyDescent="0.4">
      <c r="A170" t="s">
        <v>67</v>
      </c>
      <c r="B170">
        <v>202111</v>
      </c>
      <c r="C170">
        <v>14200</v>
      </c>
      <c r="D170" t="s">
        <v>62</v>
      </c>
      <c r="E170" t="s">
        <v>63</v>
      </c>
      <c r="F170" t="s">
        <v>63</v>
      </c>
      <c r="G170" t="s">
        <v>63</v>
      </c>
      <c r="H170" t="s">
        <v>63</v>
      </c>
      <c r="I170">
        <v>2510</v>
      </c>
      <c r="J170" t="s">
        <v>68</v>
      </c>
      <c r="K170" t="s">
        <v>68</v>
      </c>
      <c r="L170">
        <v>0</v>
      </c>
      <c r="M170">
        <v>0</v>
      </c>
      <c r="N170">
        <v>0</v>
      </c>
      <c r="O170">
        <v>0</v>
      </c>
      <c r="P170">
        <v>2390</v>
      </c>
      <c r="Q170">
        <v>2660</v>
      </c>
      <c r="R170" t="s">
        <v>63</v>
      </c>
      <c r="S170" t="s">
        <v>63</v>
      </c>
    </row>
    <row r="171" spans="1:19" x14ac:dyDescent="0.4">
      <c r="A171" t="s">
        <v>67</v>
      </c>
      <c r="B171">
        <v>202111</v>
      </c>
      <c r="C171">
        <v>14200</v>
      </c>
      <c r="D171" t="s">
        <v>64</v>
      </c>
      <c r="E171">
        <v>18.5</v>
      </c>
      <c r="F171">
        <v>22.5</v>
      </c>
      <c r="G171">
        <v>17</v>
      </c>
      <c r="H171">
        <v>21</v>
      </c>
      <c r="I171">
        <v>21</v>
      </c>
      <c r="J171" t="s">
        <v>73</v>
      </c>
      <c r="K171" s="28">
        <v>0</v>
      </c>
      <c r="L171">
        <v>13</v>
      </c>
      <c r="M171">
        <v>40</v>
      </c>
      <c r="N171">
        <v>53</v>
      </c>
      <c r="O171">
        <v>265</v>
      </c>
      <c r="P171">
        <v>20</v>
      </c>
      <c r="Q171">
        <v>21</v>
      </c>
      <c r="R171">
        <v>115</v>
      </c>
      <c r="S171">
        <v>17</v>
      </c>
    </row>
    <row r="172" spans="1:19" x14ac:dyDescent="0.4">
      <c r="A172" t="s">
        <v>67</v>
      </c>
      <c r="B172">
        <v>202111</v>
      </c>
      <c r="C172">
        <v>14300</v>
      </c>
      <c r="D172" t="s">
        <v>62</v>
      </c>
      <c r="E172" t="s">
        <v>63</v>
      </c>
      <c r="F172" t="s">
        <v>63</v>
      </c>
      <c r="G172" t="s">
        <v>63</v>
      </c>
      <c r="H172" t="s">
        <v>63</v>
      </c>
      <c r="I172">
        <v>2410</v>
      </c>
      <c r="J172" t="s">
        <v>68</v>
      </c>
      <c r="K172" s="28" t="s">
        <v>68</v>
      </c>
      <c r="L172">
        <v>0</v>
      </c>
      <c r="M172">
        <v>0</v>
      </c>
      <c r="N172">
        <v>0</v>
      </c>
      <c r="O172">
        <v>0</v>
      </c>
      <c r="P172">
        <v>2280</v>
      </c>
      <c r="Q172">
        <v>2580</v>
      </c>
      <c r="R172" t="s">
        <v>63</v>
      </c>
      <c r="S172" t="s">
        <v>63</v>
      </c>
    </row>
    <row r="173" spans="1:19" x14ac:dyDescent="0.4">
      <c r="A173" t="s">
        <v>67</v>
      </c>
      <c r="B173">
        <v>202111</v>
      </c>
      <c r="C173">
        <v>14300</v>
      </c>
      <c r="D173" t="s">
        <v>64</v>
      </c>
      <c r="E173">
        <v>20</v>
      </c>
      <c r="F173">
        <v>23</v>
      </c>
      <c r="G173">
        <v>19</v>
      </c>
      <c r="H173">
        <v>23</v>
      </c>
      <c r="I173">
        <v>23</v>
      </c>
      <c r="J173" t="s">
        <v>76</v>
      </c>
      <c r="K173" t="s">
        <v>415</v>
      </c>
      <c r="L173">
        <v>3</v>
      </c>
      <c r="M173">
        <v>34</v>
      </c>
      <c r="N173">
        <v>37</v>
      </c>
      <c r="O173">
        <v>227</v>
      </c>
      <c r="P173">
        <v>18</v>
      </c>
      <c r="Q173">
        <v>26</v>
      </c>
      <c r="R173">
        <v>252</v>
      </c>
      <c r="S173">
        <v>19</v>
      </c>
    </row>
    <row r="174" spans="1:19" x14ac:dyDescent="0.4">
      <c r="A174" t="s">
        <v>67</v>
      </c>
      <c r="B174">
        <v>202111</v>
      </c>
      <c r="C174">
        <v>14400</v>
      </c>
      <c r="D174" t="s">
        <v>62</v>
      </c>
      <c r="E174" t="s">
        <v>63</v>
      </c>
      <c r="F174" t="s">
        <v>63</v>
      </c>
      <c r="G174" t="s">
        <v>63</v>
      </c>
      <c r="H174" t="s">
        <v>63</v>
      </c>
      <c r="I174">
        <v>2310</v>
      </c>
      <c r="J174" t="s">
        <v>68</v>
      </c>
      <c r="K174" s="28" t="s">
        <v>68</v>
      </c>
      <c r="L174">
        <v>0</v>
      </c>
      <c r="M174">
        <v>0</v>
      </c>
      <c r="N174">
        <v>0</v>
      </c>
      <c r="O174">
        <v>120</v>
      </c>
      <c r="P174">
        <v>2190</v>
      </c>
      <c r="Q174">
        <v>2460</v>
      </c>
      <c r="R174">
        <v>2160</v>
      </c>
      <c r="S174">
        <v>2000</v>
      </c>
    </row>
    <row r="175" spans="1:19" x14ac:dyDescent="0.4">
      <c r="A175" t="s">
        <v>67</v>
      </c>
      <c r="B175">
        <v>202111</v>
      </c>
      <c r="C175">
        <v>14400</v>
      </c>
      <c r="D175" t="s">
        <v>64</v>
      </c>
      <c r="E175">
        <v>22</v>
      </c>
      <c r="F175">
        <v>27.5</v>
      </c>
      <c r="G175">
        <v>21</v>
      </c>
      <c r="H175">
        <v>25.5</v>
      </c>
      <c r="I175">
        <v>25.5</v>
      </c>
      <c r="J175" t="s">
        <v>73</v>
      </c>
      <c r="K175" s="28">
        <v>0</v>
      </c>
      <c r="L175">
        <v>20</v>
      </c>
      <c r="M175">
        <v>119</v>
      </c>
      <c r="N175">
        <v>139</v>
      </c>
      <c r="O175">
        <v>242</v>
      </c>
      <c r="P175">
        <v>20</v>
      </c>
      <c r="Q175">
        <v>26</v>
      </c>
      <c r="R175">
        <v>156</v>
      </c>
      <c r="S175">
        <v>21</v>
      </c>
    </row>
    <row r="176" spans="1:19" x14ac:dyDescent="0.4">
      <c r="A176" t="s">
        <v>67</v>
      </c>
      <c r="B176">
        <v>202111</v>
      </c>
      <c r="C176">
        <v>14500</v>
      </c>
      <c r="D176" t="s">
        <v>62</v>
      </c>
      <c r="E176" t="s">
        <v>63</v>
      </c>
      <c r="F176" t="s">
        <v>63</v>
      </c>
      <c r="G176" t="s">
        <v>63</v>
      </c>
      <c r="H176" t="s">
        <v>63</v>
      </c>
      <c r="I176">
        <v>2220</v>
      </c>
      <c r="J176" t="s">
        <v>68</v>
      </c>
      <c r="K176" t="s">
        <v>68</v>
      </c>
      <c r="L176">
        <v>0</v>
      </c>
      <c r="M176">
        <v>0</v>
      </c>
      <c r="N176">
        <v>0</v>
      </c>
      <c r="O176">
        <v>0</v>
      </c>
      <c r="P176">
        <v>2090</v>
      </c>
      <c r="Q176">
        <v>2360</v>
      </c>
      <c r="R176" t="s">
        <v>63</v>
      </c>
      <c r="S176" t="s">
        <v>63</v>
      </c>
    </row>
    <row r="177" spans="1:19" x14ac:dyDescent="0.4">
      <c r="A177" t="s">
        <v>67</v>
      </c>
      <c r="B177">
        <v>202111</v>
      </c>
      <c r="C177">
        <v>14500</v>
      </c>
      <c r="D177" t="s">
        <v>64</v>
      </c>
      <c r="E177">
        <v>24.5</v>
      </c>
      <c r="F177">
        <v>28</v>
      </c>
      <c r="G177">
        <v>23</v>
      </c>
      <c r="H177">
        <v>27</v>
      </c>
      <c r="I177">
        <v>27</v>
      </c>
      <c r="J177" t="s">
        <v>102</v>
      </c>
      <c r="K177" t="s">
        <v>75</v>
      </c>
      <c r="L177">
        <v>53</v>
      </c>
      <c r="M177">
        <v>92</v>
      </c>
      <c r="N177">
        <v>145</v>
      </c>
      <c r="O177">
        <v>632</v>
      </c>
      <c r="P177">
        <v>26</v>
      </c>
      <c r="Q177">
        <v>29</v>
      </c>
      <c r="R177">
        <v>158</v>
      </c>
      <c r="S177">
        <v>23</v>
      </c>
    </row>
    <row r="178" spans="1:19" x14ac:dyDescent="0.4">
      <c r="A178" t="s">
        <v>67</v>
      </c>
      <c r="B178">
        <v>202111</v>
      </c>
      <c r="C178">
        <v>14600</v>
      </c>
      <c r="D178" t="s">
        <v>62</v>
      </c>
      <c r="E178" t="s">
        <v>63</v>
      </c>
      <c r="F178" t="s">
        <v>63</v>
      </c>
      <c r="G178" t="s">
        <v>63</v>
      </c>
      <c r="H178" t="s">
        <v>63</v>
      </c>
      <c r="I178">
        <v>2120</v>
      </c>
      <c r="J178" t="s">
        <v>68</v>
      </c>
      <c r="K178" t="s">
        <v>68</v>
      </c>
      <c r="L178">
        <v>0</v>
      </c>
      <c r="M178">
        <v>0</v>
      </c>
      <c r="N178">
        <v>0</v>
      </c>
      <c r="O178">
        <v>0</v>
      </c>
      <c r="P178">
        <v>2000</v>
      </c>
      <c r="Q178">
        <v>2270</v>
      </c>
      <c r="R178" t="s">
        <v>63</v>
      </c>
      <c r="S178" t="s">
        <v>63</v>
      </c>
    </row>
    <row r="179" spans="1:19" x14ac:dyDescent="0.4">
      <c r="A179" t="s">
        <v>67</v>
      </c>
      <c r="B179">
        <v>202111</v>
      </c>
      <c r="C179">
        <v>14600</v>
      </c>
      <c r="D179" t="s">
        <v>64</v>
      </c>
      <c r="E179">
        <v>26</v>
      </c>
      <c r="F179">
        <v>30.5</v>
      </c>
      <c r="G179">
        <v>25</v>
      </c>
      <c r="H179">
        <v>30.5</v>
      </c>
      <c r="I179">
        <v>30.5</v>
      </c>
      <c r="J179" t="s">
        <v>72</v>
      </c>
      <c r="K179" t="s">
        <v>416</v>
      </c>
      <c r="L179">
        <v>1</v>
      </c>
      <c r="M179">
        <v>74</v>
      </c>
      <c r="N179">
        <v>75</v>
      </c>
      <c r="O179">
        <v>407</v>
      </c>
      <c r="P179">
        <v>28</v>
      </c>
      <c r="Q179">
        <v>30.5</v>
      </c>
      <c r="R179">
        <v>177</v>
      </c>
      <c r="S179">
        <v>25</v>
      </c>
    </row>
    <row r="180" spans="1:19" x14ac:dyDescent="0.4">
      <c r="A180" t="s">
        <v>67</v>
      </c>
      <c r="B180">
        <v>202111</v>
      </c>
      <c r="C180">
        <v>14700</v>
      </c>
      <c r="D180" t="s">
        <v>62</v>
      </c>
      <c r="E180" t="s">
        <v>63</v>
      </c>
      <c r="F180" t="s">
        <v>63</v>
      </c>
      <c r="G180" t="s">
        <v>63</v>
      </c>
      <c r="H180" t="s">
        <v>63</v>
      </c>
      <c r="I180">
        <v>2020</v>
      </c>
      <c r="J180" t="s">
        <v>68</v>
      </c>
      <c r="K180" t="s">
        <v>68</v>
      </c>
      <c r="L180">
        <v>0</v>
      </c>
      <c r="M180">
        <v>0</v>
      </c>
      <c r="N180">
        <v>0</v>
      </c>
      <c r="O180">
        <v>0</v>
      </c>
      <c r="P180">
        <v>1890</v>
      </c>
      <c r="Q180">
        <v>2190</v>
      </c>
      <c r="R180" t="s">
        <v>63</v>
      </c>
      <c r="S180" t="s">
        <v>63</v>
      </c>
    </row>
    <row r="181" spans="1:19" x14ac:dyDescent="0.4">
      <c r="A181" t="s">
        <v>67</v>
      </c>
      <c r="B181">
        <v>202111</v>
      </c>
      <c r="C181">
        <v>14700</v>
      </c>
      <c r="D181" t="s">
        <v>64</v>
      </c>
      <c r="E181">
        <v>30.5</v>
      </c>
      <c r="F181">
        <v>34</v>
      </c>
      <c r="G181">
        <v>30</v>
      </c>
      <c r="H181">
        <v>33</v>
      </c>
      <c r="I181">
        <v>33</v>
      </c>
      <c r="J181" t="s">
        <v>282</v>
      </c>
      <c r="K181" t="s">
        <v>417</v>
      </c>
      <c r="L181">
        <v>12</v>
      </c>
      <c r="M181">
        <v>36</v>
      </c>
      <c r="N181">
        <v>48</v>
      </c>
      <c r="O181">
        <v>260</v>
      </c>
      <c r="P181">
        <v>33</v>
      </c>
      <c r="Q181">
        <v>39.5</v>
      </c>
      <c r="R181">
        <v>161</v>
      </c>
      <c r="S181">
        <v>28</v>
      </c>
    </row>
    <row r="182" spans="1:19" x14ac:dyDescent="0.4">
      <c r="A182" t="s">
        <v>67</v>
      </c>
      <c r="B182">
        <v>202111</v>
      </c>
      <c r="C182">
        <v>14800</v>
      </c>
      <c r="D182" t="s">
        <v>62</v>
      </c>
      <c r="E182" t="s">
        <v>63</v>
      </c>
      <c r="F182" t="s">
        <v>63</v>
      </c>
      <c r="G182" t="s">
        <v>63</v>
      </c>
      <c r="H182" t="s">
        <v>63</v>
      </c>
      <c r="I182">
        <v>1930</v>
      </c>
      <c r="J182" t="s">
        <v>68</v>
      </c>
      <c r="K182" t="s">
        <v>68</v>
      </c>
      <c r="L182">
        <v>0</v>
      </c>
      <c r="M182">
        <v>0</v>
      </c>
      <c r="N182">
        <v>0</v>
      </c>
      <c r="O182">
        <v>1</v>
      </c>
      <c r="P182">
        <v>1800</v>
      </c>
      <c r="Q182">
        <v>2070</v>
      </c>
      <c r="R182">
        <v>1770</v>
      </c>
      <c r="S182">
        <v>1770</v>
      </c>
    </row>
    <row r="183" spans="1:19" x14ac:dyDescent="0.4">
      <c r="A183" t="s">
        <v>67</v>
      </c>
      <c r="B183">
        <v>202111</v>
      </c>
      <c r="C183">
        <v>14800</v>
      </c>
      <c r="D183" t="s">
        <v>64</v>
      </c>
      <c r="E183">
        <v>31.5</v>
      </c>
      <c r="F183">
        <v>38</v>
      </c>
      <c r="G183">
        <v>31</v>
      </c>
      <c r="H183">
        <v>38</v>
      </c>
      <c r="I183">
        <v>38</v>
      </c>
      <c r="J183" t="s">
        <v>78</v>
      </c>
      <c r="K183" t="s">
        <v>276</v>
      </c>
      <c r="L183">
        <v>4</v>
      </c>
      <c r="M183">
        <v>118</v>
      </c>
      <c r="N183">
        <v>122</v>
      </c>
      <c r="O183">
        <v>364</v>
      </c>
      <c r="P183">
        <v>31.5</v>
      </c>
      <c r="Q183">
        <v>39</v>
      </c>
      <c r="R183">
        <v>184</v>
      </c>
      <c r="S183">
        <v>27</v>
      </c>
    </row>
    <row r="184" spans="1:19" x14ac:dyDescent="0.4">
      <c r="A184" t="s">
        <v>67</v>
      </c>
      <c r="B184">
        <v>202111</v>
      </c>
      <c r="C184">
        <v>14900</v>
      </c>
      <c r="D184" t="s">
        <v>62</v>
      </c>
      <c r="E184" t="s">
        <v>63</v>
      </c>
      <c r="F184" t="s">
        <v>63</v>
      </c>
      <c r="G184" t="s">
        <v>63</v>
      </c>
      <c r="H184" t="s">
        <v>63</v>
      </c>
      <c r="I184">
        <v>1830</v>
      </c>
      <c r="J184" t="s">
        <v>68</v>
      </c>
      <c r="K184" t="s">
        <v>68</v>
      </c>
      <c r="L184">
        <v>0</v>
      </c>
      <c r="M184">
        <v>0</v>
      </c>
      <c r="N184">
        <v>0</v>
      </c>
      <c r="O184">
        <v>0</v>
      </c>
      <c r="P184">
        <v>1700</v>
      </c>
      <c r="Q184">
        <v>1980</v>
      </c>
      <c r="R184" t="s">
        <v>63</v>
      </c>
      <c r="S184" t="s">
        <v>63</v>
      </c>
    </row>
    <row r="185" spans="1:19" x14ac:dyDescent="0.4">
      <c r="A185" t="s">
        <v>67</v>
      </c>
      <c r="B185">
        <v>202111</v>
      </c>
      <c r="C185">
        <v>14900</v>
      </c>
      <c r="D185" t="s">
        <v>64</v>
      </c>
      <c r="E185">
        <v>35</v>
      </c>
      <c r="F185">
        <v>43</v>
      </c>
      <c r="G185">
        <v>33.5</v>
      </c>
      <c r="H185">
        <v>41.5</v>
      </c>
      <c r="I185">
        <v>41.5</v>
      </c>
      <c r="J185" t="s">
        <v>282</v>
      </c>
      <c r="K185" t="s">
        <v>418</v>
      </c>
      <c r="L185">
        <v>3</v>
      </c>
      <c r="M185">
        <v>223</v>
      </c>
      <c r="N185">
        <v>226</v>
      </c>
      <c r="O185">
        <v>525</v>
      </c>
      <c r="P185">
        <v>36</v>
      </c>
      <c r="Q185">
        <v>47</v>
      </c>
      <c r="R185">
        <v>202</v>
      </c>
      <c r="S185">
        <v>33.5</v>
      </c>
    </row>
    <row r="186" spans="1:19" x14ac:dyDescent="0.4">
      <c r="A186" t="s">
        <v>67</v>
      </c>
      <c r="B186">
        <v>202111</v>
      </c>
      <c r="C186">
        <v>15000</v>
      </c>
      <c r="D186" t="s">
        <v>62</v>
      </c>
      <c r="E186" t="s">
        <v>63</v>
      </c>
      <c r="F186" t="s">
        <v>63</v>
      </c>
      <c r="G186" t="s">
        <v>63</v>
      </c>
      <c r="H186" t="s">
        <v>63</v>
      </c>
      <c r="I186">
        <v>1740</v>
      </c>
      <c r="J186" t="s">
        <v>68</v>
      </c>
      <c r="K186" t="s">
        <v>68</v>
      </c>
      <c r="L186">
        <v>0</v>
      </c>
      <c r="M186">
        <v>0</v>
      </c>
      <c r="N186">
        <v>0</v>
      </c>
      <c r="O186">
        <v>0</v>
      </c>
      <c r="P186">
        <v>1610</v>
      </c>
      <c r="Q186">
        <v>1880</v>
      </c>
      <c r="R186" t="s">
        <v>63</v>
      </c>
      <c r="S186" t="s">
        <v>63</v>
      </c>
    </row>
    <row r="187" spans="1:19" x14ac:dyDescent="0.4">
      <c r="A187" t="s">
        <v>67</v>
      </c>
      <c r="B187">
        <v>202111</v>
      </c>
      <c r="C187">
        <v>15000</v>
      </c>
      <c r="D187" t="s">
        <v>64</v>
      </c>
      <c r="E187">
        <v>45.5</v>
      </c>
      <c r="F187">
        <v>47.5</v>
      </c>
      <c r="G187">
        <v>37.5</v>
      </c>
      <c r="H187">
        <v>46.5</v>
      </c>
      <c r="I187">
        <v>46.5</v>
      </c>
      <c r="J187" t="s">
        <v>282</v>
      </c>
      <c r="K187" t="s">
        <v>290</v>
      </c>
      <c r="L187">
        <v>128</v>
      </c>
      <c r="M187">
        <v>446</v>
      </c>
      <c r="N187">
        <v>574</v>
      </c>
      <c r="O187">
        <v>1011</v>
      </c>
      <c r="P187">
        <v>43.5</v>
      </c>
      <c r="Q187">
        <v>46.5</v>
      </c>
      <c r="R187">
        <v>240</v>
      </c>
      <c r="S187">
        <v>37</v>
      </c>
    </row>
    <row r="188" spans="1:19" x14ac:dyDescent="0.4">
      <c r="A188" t="s">
        <v>67</v>
      </c>
      <c r="B188">
        <v>202111</v>
      </c>
      <c r="C188">
        <v>15100</v>
      </c>
      <c r="D188" t="s">
        <v>62</v>
      </c>
      <c r="E188" t="s">
        <v>63</v>
      </c>
      <c r="F188" t="s">
        <v>63</v>
      </c>
      <c r="G188" t="s">
        <v>63</v>
      </c>
      <c r="H188" t="s">
        <v>63</v>
      </c>
      <c r="I188">
        <v>1640</v>
      </c>
      <c r="J188" t="s">
        <v>68</v>
      </c>
      <c r="K188" t="s">
        <v>68</v>
      </c>
      <c r="L188">
        <v>0</v>
      </c>
      <c r="M188">
        <v>0</v>
      </c>
      <c r="N188">
        <v>0</v>
      </c>
      <c r="O188">
        <v>0</v>
      </c>
      <c r="P188">
        <v>1520</v>
      </c>
      <c r="Q188">
        <v>1790</v>
      </c>
      <c r="R188" t="s">
        <v>63</v>
      </c>
      <c r="S188" t="s">
        <v>63</v>
      </c>
    </row>
    <row r="189" spans="1:19" x14ac:dyDescent="0.4">
      <c r="A189" t="s">
        <v>67</v>
      </c>
      <c r="B189">
        <v>202111</v>
      </c>
      <c r="C189">
        <v>15100</v>
      </c>
      <c r="D189" t="s">
        <v>64</v>
      </c>
      <c r="E189">
        <v>48</v>
      </c>
      <c r="F189">
        <v>52</v>
      </c>
      <c r="G189">
        <v>45</v>
      </c>
      <c r="H189">
        <v>52</v>
      </c>
      <c r="I189">
        <v>52</v>
      </c>
      <c r="J189" t="s">
        <v>102</v>
      </c>
      <c r="K189" t="s">
        <v>419</v>
      </c>
      <c r="L189">
        <v>16</v>
      </c>
      <c r="M189">
        <v>136</v>
      </c>
      <c r="N189">
        <v>152</v>
      </c>
      <c r="O189">
        <v>752</v>
      </c>
      <c r="P189">
        <v>46</v>
      </c>
      <c r="Q189">
        <v>53</v>
      </c>
      <c r="R189">
        <v>245</v>
      </c>
      <c r="S189">
        <v>40</v>
      </c>
    </row>
    <row r="190" spans="1:19" x14ac:dyDescent="0.4">
      <c r="A190" t="s">
        <v>67</v>
      </c>
      <c r="B190">
        <v>202111</v>
      </c>
      <c r="C190">
        <v>15200</v>
      </c>
      <c r="D190" t="s">
        <v>62</v>
      </c>
      <c r="E190" t="s">
        <v>63</v>
      </c>
      <c r="F190" t="s">
        <v>63</v>
      </c>
      <c r="G190" t="s">
        <v>63</v>
      </c>
      <c r="H190" t="s">
        <v>63</v>
      </c>
      <c r="I190">
        <v>1550</v>
      </c>
      <c r="J190" t="s">
        <v>68</v>
      </c>
      <c r="K190" t="s">
        <v>68</v>
      </c>
      <c r="L190">
        <v>0</v>
      </c>
      <c r="M190">
        <v>0</v>
      </c>
      <c r="N190">
        <v>0</v>
      </c>
      <c r="O190">
        <v>197</v>
      </c>
      <c r="P190">
        <v>1430</v>
      </c>
      <c r="Q190">
        <v>1680</v>
      </c>
      <c r="R190">
        <v>1530</v>
      </c>
      <c r="S190">
        <v>1260</v>
      </c>
    </row>
    <row r="191" spans="1:19" x14ac:dyDescent="0.4">
      <c r="A191" t="s">
        <v>67</v>
      </c>
      <c r="B191">
        <v>202111</v>
      </c>
      <c r="C191">
        <v>15200</v>
      </c>
      <c r="D191" t="s">
        <v>64</v>
      </c>
      <c r="E191">
        <v>52</v>
      </c>
      <c r="F191">
        <v>60</v>
      </c>
      <c r="G191">
        <v>47.5</v>
      </c>
      <c r="H191">
        <v>60</v>
      </c>
      <c r="I191">
        <v>60</v>
      </c>
      <c r="J191" t="s">
        <v>78</v>
      </c>
      <c r="K191" t="s">
        <v>420</v>
      </c>
      <c r="L191">
        <v>35</v>
      </c>
      <c r="M191">
        <v>125</v>
      </c>
      <c r="N191">
        <v>160</v>
      </c>
      <c r="O191">
        <v>673</v>
      </c>
      <c r="P191">
        <v>53</v>
      </c>
      <c r="Q191">
        <v>59</v>
      </c>
      <c r="R191">
        <v>340</v>
      </c>
      <c r="S191">
        <v>47</v>
      </c>
    </row>
    <row r="192" spans="1:19" x14ac:dyDescent="0.4">
      <c r="A192" t="s">
        <v>67</v>
      </c>
      <c r="B192">
        <v>202111</v>
      </c>
      <c r="C192">
        <v>15300</v>
      </c>
      <c r="D192" t="s">
        <v>62</v>
      </c>
      <c r="E192" t="s">
        <v>63</v>
      </c>
      <c r="F192" t="s">
        <v>63</v>
      </c>
      <c r="G192" t="s">
        <v>63</v>
      </c>
      <c r="H192" t="s">
        <v>63</v>
      </c>
      <c r="I192">
        <v>1460</v>
      </c>
      <c r="J192" t="s">
        <v>68</v>
      </c>
      <c r="K192" t="s">
        <v>68</v>
      </c>
      <c r="L192">
        <v>0</v>
      </c>
      <c r="M192">
        <v>0</v>
      </c>
      <c r="N192">
        <v>0</v>
      </c>
      <c r="O192">
        <v>3</v>
      </c>
      <c r="P192">
        <v>1320</v>
      </c>
      <c r="Q192">
        <v>1580</v>
      </c>
      <c r="R192">
        <v>1510</v>
      </c>
      <c r="S192">
        <v>1260</v>
      </c>
    </row>
    <row r="193" spans="1:19" x14ac:dyDescent="0.4">
      <c r="A193" t="s">
        <v>67</v>
      </c>
      <c r="B193">
        <v>202111</v>
      </c>
      <c r="C193">
        <v>15300</v>
      </c>
      <c r="D193" t="s">
        <v>64</v>
      </c>
      <c r="E193">
        <v>59</v>
      </c>
      <c r="F193">
        <v>66</v>
      </c>
      <c r="G193">
        <v>55</v>
      </c>
      <c r="H193">
        <v>66</v>
      </c>
      <c r="I193">
        <v>66</v>
      </c>
      <c r="J193" t="s">
        <v>81</v>
      </c>
      <c r="K193" t="s">
        <v>413</v>
      </c>
      <c r="L193">
        <v>88</v>
      </c>
      <c r="M193">
        <v>130</v>
      </c>
      <c r="N193">
        <v>218</v>
      </c>
      <c r="O193">
        <v>764</v>
      </c>
      <c r="P193">
        <v>52</v>
      </c>
      <c r="Q193">
        <v>75</v>
      </c>
      <c r="R193">
        <v>330</v>
      </c>
      <c r="S193">
        <v>50</v>
      </c>
    </row>
    <row r="194" spans="1:19" x14ac:dyDescent="0.4">
      <c r="A194" t="s">
        <v>67</v>
      </c>
      <c r="B194">
        <v>202111</v>
      </c>
      <c r="C194">
        <v>15400</v>
      </c>
      <c r="D194" t="s">
        <v>62</v>
      </c>
      <c r="E194" t="s">
        <v>63</v>
      </c>
      <c r="F194" t="s">
        <v>63</v>
      </c>
      <c r="G194" t="s">
        <v>63</v>
      </c>
      <c r="H194" t="s">
        <v>63</v>
      </c>
      <c r="I194">
        <v>1360</v>
      </c>
      <c r="J194" t="s">
        <v>68</v>
      </c>
      <c r="K194" t="s">
        <v>68</v>
      </c>
      <c r="L194">
        <v>0</v>
      </c>
      <c r="M194">
        <v>0</v>
      </c>
      <c r="N194">
        <v>0</v>
      </c>
      <c r="O194">
        <v>3</v>
      </c>
      <c r="P194">
        <v>1240</v>
      </c>
      <c r="Q194">
        <v>1490</v>
      </c>
      <c r="R194">
        <v>1420</v>
      </c>
      <c r="S194">
        <v>1420</v>
      </c>
    </row>
    <row r="195" spans="1:19" x14ac:dyDescent="0.4">
      <c r="A195" t="s">
        <v>67</v>
      </c>
      <c r="B195">
        <v>202111</v>
      </c>
      <c r="C195">
        <v>15400</v>
      </c>
      <c r="D195" t="s">
        <v>64</v>
      </c>
      <c r="E195">
        <v>67</v>
      </c>
      <c r="F195">
        <v>75</v>
      </c>
      <c r="G195">
        <v>60</v>
      </c>
      <c r="H195">
        <v>75</v>
      </c>
      <c r="I195">
        <v>75</v>
      </c>
      <c r="J195" t="s">
        <v>73</v>
      </c>
      <c r="K195" s="28">
        <v>0</v>
      </c>
      <c r="L195">
        <v>76</v>
      </c>
      <c r="M195">
        <v>100</v>
      </c>
      <c r="N195">
        <v>176</v>
      </c>
      <c r="O195">
        <v>886</v>
      </c>
      <c r="P195">
        <v>67</v>
      </c>
      <c r="Q195">
        <v>75</v>
      </c>
      <c r="R195">
        <v>313</v>
      </c>
      <c r="S195">
        <v>58</v>
      </c>
    </row>
    <row r="196" spans="1:19" x14ac:dyDescent="0.4">
      <c r="A196" t="s">
        <v>67</v>
      </c>
      <c r="B196">
        <v>202111</v>
      </c>
      <c r="C196">
        <v>15500</v>
      </c>
      <c r="D196" t="s">
        <v>62</v>
      </c>
      <c r="E196" t="s">
        <v>63</v>
      </c>
      <c r="F196" t="s">
        <v>63</v>
      </c>
      <c r="G196" t="s">
        <v>63</v>
      </c>
      <c r="H196" t="s">
        <v>63</v>
      </c>
      <c r="I196">
        <v>1270</v>
      </c>
      <c r="J196" t="s">
        <v>68</v>
      </c>
      <c r="K196" t="s">
        <v>68</v>
      </c>
      <c r="L196">
        <v>0</v>
      </c>
      <c r="M196">
        <v>0</v>
      </c>
      <c r="N196">
        <v>0</v>
      </c>
      <c r="O196">
        <v>0</v>
      </c>
      <c r="P196">
        <v>1150</v>
      </c>
      <c r="Q196">
        <v>1400</v>
      </c>
      <c r="R196" t="s">
        <v>63</v>
      </c>
      <c r="S196" t="s">
        <v>63</v>
      </c>
    </row>
    <row r="197" spans="1:19" x14ac:dyDescent="0.4">
      <c r="A197" t="s">
        <v>67</v>
      </c>
      <c r="B197">
        <v>202111</v>
      </c>
      <c r="C197">
        <v>15500</v>
      </c>
      <c r="D197" t="s">
        <v>64</v>
      </c>
      <c r="E197">
        <v>75</v>
      </c>
      <c r="F197">
        <v>84</v>
      </c>
      <c r="G197">
        <v>67</v>
      </c>
      <c r="H197">
        <v>84</v>
      </c>
      <c r="I197">
        <v>84</v>
      </c>
      <c r="J197" t="s">
        <v>81</v>
      </c>
      <c r="K197" t="s">
        <v>421</v>
      </c>
      <c r="L197">
        <v>115</v>
      </c>
      <c r="M197">
        <v>232</v>
      </c>
      <c r="N197">
        <v>347</v>
      </c>
      <c r="O197">
        <v>834</v>
      </c>
      <c r="P197">
        <v>78</v>
      </c>
      <c r="Q197">
        <v>85</v>
      </c>
      <c r="R197">
        <v>333</v>
      </c>
      <c r="S197">
        <v>65</v>
      </c>
    </row>
    <row r="198" spans="1:19" x14ac:dyDescent="0.4">
      <c r="A198" t="s">
        <v>67</v>
      </c>
      <c r="B198">
        <v>202111</v>
      </c>
      <c r="C198">
        <v>15600</v>
      </c>
      <c r="D198" t="s">
        <v>62</v>
      </c>
      <c r="E198" t="s">
        <v>63</v>
      </c>
      <c r="F198" t="s">
        <v>63</v>
      </c>
      <c r="G198" t="s">
        <v>63</v>
      </c>
      <c r="H198" t="s">
        <v>63</v>
      </c>
      <c r="I198">
        <v>1180</v>
      </c>
      <c r="J198" t="s">
        <v>68</v>
      </c>
      <c r="K198" t="s">
        <v>68</v>
      </c>
      <c r="L198">
        <v>0</v>
      </c>
      <c r="M198">
        <v>0</v>
      </c>
      <c r="N198">
        <v>0</v>
      </c>
      <c r="O198">
        <v>0</v>
      </c>
      <c r="P198">
        <v>1060</v>
      </c>
      <c r="Q198">
        <v>1310</v>
      </c>
      <c r="R198">
        <v>1250</v>
      </c>
      <c r="S198">
        <v>905</v>
      </c>
    </row>
    <row r="199" spans="1:19" x14ac:dyDescent="0.4">
      <c r="A199" t="s">
        <v>67</v>
      </c>
      <c r="B199">
        <v>202111</v>
      </c>
      <c r="C199">
        <v>15600</v>
      </c>
      <c r="D199" t="s">
        <v>64</v>
      </c>
      <c r="E199">
        <v>85</v>
      </c>
      <c r="F199">
        <v>94</v>
      </c>
      <c r="G199">
        <v>74</v>
      </c>
      <c r="H199">
        <v>94</v>
      </c>
      <c r="I199">
        <v>94</v>
      </c>
      <c r="J199" t="s">
        <v>102</v>
      </c>
      <c r="K199" t="s">
        <v>422</v>
      </c>
      <c r="L199">
        <v>107</v>
      </c>
      <c r="M199">
        <v>228</v>
      </c>
      <c r="N199">
        <v>335</v>
      </c>
      <c r="O199">
        <v>1101</v>
      </c>
      <c r="P199">
        <v>87</v>
      </c>
      <c r="Q199">
        <v>95</v>
      </c>
      <c r="R199">
        <v>479</v>
      </c>
      <c r="S199">
        <v>74</v>
      </c>
    </row>
    <row r="200" spans="1:19" x14ac:dyDescent="0.4">
      <c r="A200" t="s">
        <v>67</v>
      </c>
      <c r="B200">
        <v>202111</v>
      </c>
      <c r="C200">
        <v>15700</v>
      </c>
      <c r="D200" t="s">
        <v>62</v>
      </c>
      <c r="E200" t="s">
        <v>63</v>
      </c>
      <c r="F200" t="s">
        <v>63</v>
      </c>
      <c r="G200" t="s">
        <v>63</v>
      </c>
      <c r="H200" t="s">
        <v>63</v>
      </c>
      <c r="I200">
        <v>1100</v>
      </c>
      <c r="J200" t="s">
        <v>68</v>
      </c>
      <c r="K200" t="s">
        <v>68</v>
      </c>
      <c r="L200">
        <v>0</v>
      </c>
      <c r="M200">
        <v>0</v>
      </c>
      <c r="N200">
        <v>0</v>
      </c>
      <c r="O200">
        <v>0</v>
      </c>
      <c r="P200">
        <v>960</v>
      </c>
      <c r="Q200">
        <v>1230</v>
      </c>
      <c r="R200">
        <v>1160</v>
      </c>
      <c r="S200">
        <v>935</v>
      </c>
    </row>
    <row r="201" spans="1:19" x14ac:dyDescent="0.4">
      <c r="A201" t="s">
        <v>67</v>
      </c>
      <c r="B201">
        <v>202111</v>
      </c>
      <c r="C201">
        <v>15700</v>
      </c>
      <c r="D201" t="s">
        <v>64</v>
      </c>
      <c r="E201">
        <v>100</v>
      </c>
      <c r="F201">
        <v>107</v>
      </c>
      <c r="G201">
        <v>85</v>
      </c>
      <c r="H201">
        <v>106</v>
      </c>
      <c r="I201">
        <v>106</v>
      </c>
      <c r="J201" t="s">
        <v>111</v>
      </c>
      <c r="K201" t="s">
        <v>269</v>
      </c>
      <c r="L201">
        <v>254</v>
      </c>
      <c r="M201">
        <v>378</v>
      </c>
      <c r="N201">
        <v>632</v>
      </c>
      <c r="O201">
        <v>1078</v>
      </c>
      <c r="P201">
        <v>99</v>
      </c>
      <c r="Q201">
        <v>106</v>
      </c>
      <c r="R201">
        <v>393</v>
      </c>
      <c r="S201">
        <v>84</v>
      </c>
    </row>
    <row r="202" spans="1:19" x14ac:dyDescent="0.4">
      <c r="A202" t="s">
        <v>67</v>
      </c>
      <c r="B202">
        <v>202111</v>
      </c>
      <c r="C202">
        <v>15800</v>
      </c>
      <c r="D202" t="s">
        <v>62</v>
      </c>
      <c r="E202" t="s">
        <v>63</v>
      </c>
      <c r="F202" t="s">
        <v>63</v>
      </c>
      <c r="G202" t="s">
        <v>63</v>
      </c>
      <c r="H202" t="s">
        <v>63</v>
      </c>
      <c r="I202">
        <v>1010</v>
      </c>
      <c r="J202" t="s">
        <v>68</v>
      </c>
      <c r="K202" t="s">
        <v>68</v>
      </c>
      <c r="L202">
        <v>0</v>
      </c>
      <c r="M202">
        <v>0</v>
      </c>
      <c r="N202">
        <v>0</v>
      </c>
      <c r="O202">
        <v>62</v>
      </c>
      <c r="P202">
        <v>995</v>
      </c>
      <c r="Q202">
        <v>1030</v>
      </c>
      <c r="R202">
        <v>1050</v>
      </c>
      <c r="S202">
        <v>710</v>
      </c>
    </row>
    <row r="203" spans="1:19" x14ac:dyDescent="0.4">
      <c r="A203" t="s">
        <v>67</v>
      </c>
      <c r="B203">
        <v>202111</v>
      </c>
      <c r="C203">
        <v>15800</v>
      </c>
      <c r="D203" t="s">
        <v>64</v>
      </c>
      <c r="E203">
        <v>110</v>
      </c>
      <c r="F203">
        <v>121</v>
      </c>
      <c r="G203">
        <v>95</v>
      </c>
      <c r="H203">
        <v>119</v>
      </c>
      <c r="I203">
        <v>119</v>
      </c>
      <c r="J203" t="s">
        <v>102</v>
      </c>
      <c r="K203" t="s">
        <v>423</v>
      </c>
      <c r="L203">
        <v>313</v>
      </c>
      <c r="M203">
        <v>538</v>
      </c>
      <c r="N203">
        <v>851</v>
      </c>
      <c r="O203">
        <v>1459</v>
      </c>
      <c r="P203">
        <v>119</v>
      </c>
      <c r="Q203">
        <v>121</v>
      </c>
      <c r="R203">
        <v>535</v>
      </c>
      <c r="S203">
        <v>93</v>
      </c>
    </row>
    <row r="204" spans="1:19" x14ac:dyDescent="0.4">
      <c r="A204" t="s">
        <v>67</v>
      </c>
      <c r="B204">
        <v>202111</v>
      </c>
      <c r="C204">
        <v>15900</v>
      </c>
      <c r="D204" t="s">
        <v>62</v>
      </c>
      <c r="E204" t="s">
        <v>63</v>
      </c>
      <c r="F204" t="s">
        <v>63</v>
      </c>
      <c r="G204" t="s">
        <v>63</v>
      </c>
      <c r="H204" t="s">
        <v>63</v>
      </c>
      <c r="I204">
        <v>925</v>
      </c>
      <c r="J204" t="s">
        <v>68</v>
      </c>
      <c r="K204" t="s">
        <v>68</v>
      </c>
      <c r="L204">
        <v>0</v>
      </c>
      <c r="M204">
        <v>0</v>
      </c>
      <c r="N204">
        <v>0</v>
      </c>
      <c r="O204">
        <v>4</v>
      </c>
      <c r="P204">
        <v>915</v>
      </c>
      <c r="Q204">
        <v>1060</v>
      </c>
      <c r="R204">
        <v>920</v>
      </c>
      <c r="S204">
        <v>680</v>
      </c>
    </row>
    <row r="205" spans="1:19" x14ac:dyDescent="0.4">
      <c r="A205" t="s">
        <v>67</v>
      </c>
      <c r="B205">
        <v>202111</v>
      </c>
      <c r="C205">
        <v>15900</v>
      </c>
      <c r="D205" t="s">
        <v>64</v>
      </c>
      <c r="E205">
        <v>122</v>
      </c>
      <c r="F205">
        <v>137</v>
      </c>
      <c r="G205">
        <v>113</v>
      </c>
      <c r="H205">
        <v>135</v>
      </c>
      <c r="I205">
        <v>135</v>
      </c>
      <c r="J205" t="s">
        <v>102</v>
      </c>
      <c r="K205" t="s">
        <v>424</v>
      </c>
      <c r="L205">
        <v>72</v>
      </c>
      <c r="M205">
        <v>269</v>
      </c>
      <c r="N205">
        <v>341</v>
      </c>
      <c r="O205">
        <v>773</v>
      </c>
      <c r="P205">
        <v>134</v>
      </c>
      <c r="Q205">
        <v>136</v>
      </c>
      <c r="R205">
        <v>540</v>
      </c>
      <c r="S205">
        <v>110</v>
      </c>
    </row>
    <row r="206" spans="1:19" x14ac:dyDescent="0.4">
      <c r="A206" t="s">
        <v>67</v>
      </c>
      <c r="B206">
        <v>202111</v>
      </c>
      <c r="C206">
        <v>16000</v>
      </c>
      <c r="D206" t="s">
        <v>62</v>
      </c>
      <c r="E206" t="s">
        <v>63</v>
      </c>
      <c r="F206" t="s">
        <v>63</v>
      </c>
      <c r="G206" t="s">
        <v>63</v>
      </c>
      <c r="H206" t="s">
        <v>63</v>
      </c>
      <c r="I206">
        <v>840</v>
      </c>
      <c r="J206" t="s">
        <v>68</v>
      </c>
      <c r="K206" t="s">
        <v>68</v>
      </c>
      <c r="L206">
        <v>0</v>
      </c>
      <c r="M206">
        <v>0</v>
      </c>
      <c r="N206">
        <v>0</v>
      </c>
      <c r="O206">
        <v>49</v>
      </c>
      <c r="P206">
        <v>830</v>
      </c>
      <c r="Q206">
        <v>980</v>
      </c>
      <c r="R206">
        <v>915</v>
      </c>
      <c r="S206">
        <v>580</v>
      </c>
    </row>
    <row r="207" spans="1:19" x14ac:dyDescent="0.4">
      <c r="A207" t="s">
        <v>67</v>
      </c>
      <c r="B207">
        <v>202111</v>
      </c>
      <c r="C207">
        <v>16000</v>
      </c>
      <c r="D207" t="s">
        <v>64</v>
      </c>
      <c r="E207">
        <v>137</v>
      </c>
      <c r="F207">
        <v>154</v>
      </c>
      <c r="G207">
        <v>123</v>
      </c>
      <c r="H207">
        <v>151</v>
      </c>
      <c r="I207">
        <v>151</v>
      </c>
      <c r="J207" t="s">
        <v>78</v>
      </c>
      <c r="K207" t="s">
        <v>425</v>
      </c>
      <c r="L207">
        <v>400</v>
      </c>
      <c r="M207">
        <v>1190</v>
      </c>
      <c r="N207">
        <v>1590</v>
      </c>
      <c r="O207">
        <v>2536</v>
      </c>
      <c r="P207">
        <v>150</v>
      </c>
      <c r="Q207">
        <v>152</v>
      </c>
      <c r="R207">
        <v>600</v>
      </c>
      <c r="S207">
        <v>116</v>
      </c>
    </row>
    <row r="208" spans="1:19" x14ac:dyDescent="0.4">
      <c r="A208" t="s">
        <v>67</v>
      </c>
      <c r="B208">
        <v>202111</v>
      </c>
      <c r="C208">
        <v>16100</v>
      </c>
      <c r="D208" t="s">
        <v>62</v>
      </c>
      <c r="E208" t="s">
        <v>63</v>
      </c>
      <c r="F208" t="s">
        <v>63</v>
      </c>
      <c r="G208" t="s">
        <v>63</v>
      </c>
      <c r="H208" t="s">
        <v>63</v>
      </c>
      <c r="I208">
        <v>765</v>
      </c>
      <c r="J208" t="s">
        <v>68</v>
      </c>
      <c r="K208" t="s">
        <v>68</v>
      </c>
      <c r="L208">
        <v>0</v>
      </c>
      <c r="M208">
        <v>0</v>
      </c>
      <c r="N208">
        <v>0</v>
      </c>
      <c r="O208">
        <v>33</v>
      </c>
      <c r="P208">
        <v>750</v>
      </c>
      <c r="Q208">
        <v>775</v>
      </c>
      <c r="R208">
        <v>1580</v>
      </c>
      <c r="S208">
        <v>520</v>
      </c>
    </row>
    <row r="209" spans="1:19" x14ac:dyDescent="0.4">
      <c r="A209" t="s">
        <v>67</v>
      </c>
      <c r="B209">
        <v>202111</v>
      </c>
      <c r="C209">
        <v>16100</v>
      </c>
      <c r="D209" t="s">
        <v>64</v>
      </c>
      <c r="E209">
        <v>156</v>
      </c>
      <c r="F209">
        <v>174</v>
      </c>
      <c r="G209">
        <v>143</v>
      </c>
      <c r="H209">
        <v>173</v>
      </c>
      <c r="I209">
        <v>173</v>
      </c>
      <c r="J209" t="s">
        <v>78</v>
      </c>
      <c r="K209" t="s">
        <v>426</v>
      </c>
      <c r="L209">
        <v>148</v>
      </c>
      <c r="M209">
        <v>529</v>
      </c>
      <c r="N209">
        <v>677</v>
      </c>
      <c r="O209">
        <v>1116</v>
      </c>
      <c r="P209">
        <v>170</v>
      </c>
      <c r="Q209">
        <v>174</v>
      </c>
      <c r="R209">
        <v>705</v>
      </c>
      <c r="S209">
        <v>124</v>
      </c>
    </row>
    <row r="210" spans="1:19" x14ac:dyDescent="0.4">
      <c r="A210" t="s">
        <v>67</v>
      </c>
      <c r="B210">
        <v>202111</v>
      </c>
      <c r="C210">
        <v>16200</v>
      </c>
      <c r="D210" t="s">
        <v>62</v>
      </c>
      <c r="E210">
        <v>750</v>
      </c>
      <c r="F210">
        <v>750</v>
      </c>
      <c r="G210">
        <v>700</v>
      </c>
      <c r="H210">
        <v>700</v>
      </c>
      <c r="I210">
        <v>685</v>
      </c>
      <c r="J210" t="s">
        <v>427</v>
      </c>
      <c r="K210" t="s">
        <v>428</v>
      </c>
      <c r="L210">
        <v>3</v>
      </c>
      <c r="M210">
        <v>14</v>
      </c>
      <c r="N210">
        <v>17</v>
      </c>
      <c r="O210">
        <v>261</v>
      </c>
      <c r="P210">
        <v>670</v>
      </c>
      <c r="Q210">
        <v>695</v>
      </c>
      <c r="R210">
        <v>1080</v>
      </c>
      <c r="S210">
        <v>475</v>
      </c>
    </row>
    <row r="211" spans="1:19" x14ac:dyDescent="0.4">
      <c r="A211" t="s">
        <v>67</v>
      </c>
      <c r="B211">
        <v>202111</v>
      </c>
      <c r="C211">
        <v>16200</v>
      </c>
      <c r="D211" t="s">
        <v>64</v>
      </c>
      <c r="E211">
        <v>176</v>
      </c>
      <c r="F211">
        <v>197</v>
      </c>
      <c r="G211">
        <v>160</v>
      </c>
      <c r="H211">
        <v>195</v>
      </c>
      <c r="I211">
        <v>195</v>
      </c>
      <c r="J211" t="s">
        <v>80</v>
      </c>
      <c r="K211" t="s">
        <v>429</v>
      </c>
      <c r="L211">
        <v>206</v>
      </c>
      <c r="M211">
        <v>511</v>
      </c>
      <c r="N211">
        <v>717</v>
      </c>
      <c r="O211">
        <v>2674</v>
      </c>
      <c r="P211">
        <v>193</v>
      </c>
      <c r="Q211">
        <v>195</v>
      </c>
      <c r="R211">
        <v>710</v>
      </c>
      <c r="S211">
        <v>150</v>
      </c>
    </row>
    <row r="212" spans="1:19" x14ac:dyDescent="0.4">
      <c r="A212" t="s">
        <v>67</v>
      </c>
      <c r="B212">
        <v>202111</v>
      </c>
      <c r="C212">
        <v>16300</v>
      </c>
      <c r="D212" t="s">
        <v>62</v>
      </c>
      <c r="E212">
        <v>680</v>
      </c>
      <c r="F212">
        <v>700</v>
      </c>
      <c r="G212">
        <v>605</v>
      </c>
      <c r="H212">
        <v>605</v>
      </c>
      <c r="I212">
        <v>605</v>
      </c>
      <c r="J212" t="s">
        <v>228</v>
      </c>
      <c r="K212" t="s">
        <v>430</v>
      </c>
      <c r="L212">
        <v>1</v>
      </c>
      <c r="M212">
        <v>11</v>
      </c>
      <c r="N212">
        <v>12</v>
      </c>
      <c r="O212">
        <v>657</v>
      </c>
      <c r="P212">
        <v>595</v>
      </c>
      <c r="Q212">
        <v>620</v>
      </c>
      <c r="R212">
        <v>1170</v>
      </c>
      <c r="S212">
        <v>418</v>
      </c>
    </row>
    <row r="213" spans="1:19" x14ac:dyDescent="0.4">
      <c r="A213" t="s">
        <v>67</v>
      </c>
      <c r="B213">
        <v>202111</v>
      </c>
      <c r="C213">
        <v>16300</v>
      </c>
      <c r="D213" t="s">
        <v>64</v>
      </c>
      <c r="E213">
        <v>203</v>
      </c>
      <c r="F213">
        <v>223</v>
      </c>
      <c r="G213">
        <v>179</v>
      </c>
      <c r="H213">
        <v>220</v>
      </c>
      <c r="I213">
        <v>220</v>
      </c>
      <c r="J213" t="s">
        <v>431</v>
      </c>
      <c r="K213" t="s">
        <v>432</v>
      </c>
      <c r="L213">
        <v>125</v>
      </c>
      <c r="M213">
        <v>208</v>
      </c>
      <c r="N213">
        <v>333</v>
      </c>
      <c r="O213">
        <v>944</v>
      </c>
      <c r="P213">
        <v>215</v>
      </c>
      <c r="Q213">
        <v>222</v>
      </c>
      <c r="R213">
        <v>650</v>
      </c>
      <c r="S213">
        <v>179</v>
      </c>
    </row>
    <row r="214" spans="1:19" x14ac:dyDescent="0.4">
      <c r="A214" t="s">
        <v>67</v>
      </c>
      <c r="B214">
        <v>202111</v>
      </c>
      <c r="C214">
        <v>16400</v>
      </c>
      <c r="D214" t="s">
        <v>62</v>
      </c>
      <c r="E214">
        <v>620</v>
      </c>
      <c r="F214">
        <v>640</v>
      </c>
      <c r="G214">
        <v>525</v>
      </c>
      <c r="H214">
        <v>530</v>
      </c>
      <c r="I214">
        <v>530</v>
      </c>
      <c r="J214" t="s">
        <v>228</v>
      </c>
      <c r="K214" t="s">
        <v>433</v>
      </c>
      <c r="L214">
        <v>19</v>
      </c>
      <c r="M214">
        <v>223</v>
      </c>
      <c r="N214">
        <v>242</v>
      </c>
      <c r="O214">
        <v>1240</v>
      </c>
      <c r="P214">
        <v>525</v>
      </c>
      <c r="Q214">
        <v>550</v>
      </c>
      <c r="R214">
        <v>1030</v>
      </c>
      <c r="S214">
        <v>369</v>
      </c>
    </row>
    <row r="215" spans="1:19" x14ac:dyDescent="0.4">
      <c r="A215" t="s">
        <v>67</v>
      </c>
      <c r="B215">
        <v>202111</v>
      </c>
      <c r="C215">
        <v>16400</v>
      </c>
      <c r="D215" t="s">
        <v>64</v>
      </c>
      <c r="E215">
        <v>243</v>
      </c>
      <c r="F215">
        <v>251</v>
      </c>
      <c r="G215">
        <v>203</v>
      </c>
      <c r="H215">
        <v>247</v>
      </c>
      <c r="I215">
        <v>247</v>
      </c>
      <c r="J215" t="s">
        <v>431</v>
      </c>
      <c r="K215" t="s">
        <v>434</v>
      </c>
      <c r="L215">
        <v>77</v>
      </c>
      <c r="M215">
        <v>323</v>
      </c>
      <c r="N215">
        <v>400</v>
      </c>
      <c r="O215">
        <v>1532</v>
      </c>
      <c r="P215">
        <v>244</v>
      </c>
      <c r="Q215">
        <v>250</v>
      </c>
      <c r="R215">
        <v>845</v>
      </c>
      <c r="S215">
        <v>190</v>
      </c>
    </row>
    <row r="216" spans="1:19" x14ac:dyDescent="0.4">
      <c r="A216" t="s">
        <v>67</v>
      </c>
      <c r="B216">
        <v>202111</v>
      </c>
      <c r="C216">
        <v>16500</v>
      </c>
      <c r="D216" t="s">
        <v>62</v>
      </c>
      <c r="E216">
        <v>535</v>
      </c>
      <c r="F216">
        <v>565</v>
      </c>
      <c r="G216">
        <v>468</v>
      </c>
      <c r="H216">
        <v>468</v>
      </c>
      <c r="I216">
        <v>468</v>
      </c>
      <c r="J216" t="s">
        <v>320</v>
      </c>
      <c r="K216" t="s">
        <v>435</v>
      </c>
      <c r="L216">
        <v>34</v>
      </c>
      <c r="M216">
        <v>64</v>
      </c>
      <c r="N216">
        <v>98</v>
      </c>
      <c r="O216">
        <v>696</v>
      </c>
      <c r="P216">
        <v>468</v>
      </c>
      <c r="Q216">
        <v>475</v>
      </c>
      <c r="R216">
        <v>865</v>
      </c>
      <c r="S216">
        <v>308</v>
      </c>
    </row>
    <row r="217" spans="1:19" x14ac:dyDescent="0.4">
      <c r="A217" t="s">
        <v>67</v>
      </c>
      <c r="B217">
        <v>202111</v>
      </c>
      <c r="C217">
        <v>16500</v>
      </c>
      <c r="D217" t="s">
        <v>64</v>
      </c>
      <c r="E217">
        <v>254</v>
      </c>
      <c r="F217">
        <v>284</v>
      </c>
      <c r="G217">
        <v>230</v>
      </c>
      <c r="H217">
        <v>281</v>
      </c>
      <c r="I217">
        <v>281</v>
      </c>
      <c r="J217" t="s">
        <v>112</v>
      </c>
      <c r="K217" t="s">
        <v>436</v>
      </c>
      <c r="L217">
        <v>52</v>
      </c>
      <c r="M217">
        <v>249</v>
      </c>
      <c r="N217">
        <v>301</v>
      </c>
      <c r="O217">
        <v>2509</v>
      </c>
      <c r="P217">
        <v>276</v>
      </c>
      <c r="Q217">
        <v>283</v>
      </c>
      <c r="R217">
        <v>715</v>
      </c>
      <c r="S217">
        <v>218</v>
      </c>
    </row>
    <row r="218" spans="1:19" x14ac:dyDescent="0.4">
      <c r="A218" t="s">
        <v>67</v>
      </c>
      <c r="B218">
        <v>202111</v>
      </c>
      <c r="C218">
        <v>16600</v>
      </c>
      <c r="D218" t="s">
        <v>62</v>
      </c>
      <c r="E218">
        <v>466</v>
      </c>
      <c r="F218">
        <v>479</v>
      </c>
      <c r="G218">
        <v>402</v>
      </c>
      <c r="H218">
        <v>411</v>
      </c>
      <c r="I218">
        <v>411</v>
      </c>
      <c r="J218" t="s">
        <v>437</v>
      </c>
      <c r="K218" t="s">
        <v>438</v>
      </c>
      <c r="L218">
        <v>87</v>
      </c>
      <c r="M218">
        <v>155</v>
      </c>
      <c r="N218">
        <v>242</v>
      </c>
      <c r="O218">
        <v>650</v>
      </c>
      <c r="P218">
        <v>405</v>
      </c>
      <c r="Q218">
        <v>412</v>
      </c>
      <c r="R218">
        <v>750</v>
      </c>
      <c r="S218">
        <v>283</v>
      </c>
    </row>
    <row r="219" spans="1:19" x14ac:dyDescent="0.4">
      <c r="A219" t="s">
        <v>67</v>
      </c>
      <c r="B219">
        <v>202111</v>
      </c>
      <c r="C219">
        <v>16600</v>
      </c>
      <c r="D219" t="s">
        <v>64</v>
      </c>
      <c r="E219">
        <v>289</v>
      </c>
      <c r="F219">
        <v>321</v>
      </c>
      <c r="G219">
        <v>262</v>
      </c>
      <c r="H219">
        <v>317</v>
      </c>
      <c r="I219">
        <v>317</v>
      </c>
      <c r="J219" t="s">
        <v>439</v>
      </c>
      <c r="K219" t="s">
        <v>440</v>
      </c>
      <c r="L219">
        <v>95</v>
      </c>
      <c r="M219">
        <v>210</v>
      </c>
      <c r="N219">
        <v>305</v>
      </c>
      <c r="O219">
        <v>3603</v>
      </c>
      <c r="P219">
        <v>312</v>
      </c>
      <c r="Q219">
        <v>320</v>
      </c>
      <c r="R219">
        <v>815</v>
      </c>
      <c r="S219">
        <v>245</v>
      </c>
    </row>
    <row r="220" spans="1:19" x14ac:dyDescent="0.4">
      <c r="A220" t="s">
        <v>67</v>
      </c>
      <c r="B220">
        <v>202111</v>
      </c>
      <c r="C220">
        <v>16700</v>
      </c>
      <c r="D220" t="s">
        <v>62</v>
      </c>
      <c r="E220">
        <v>408</v>
      </c>
      <c r="F220">
        <v>433</v>
      </c>
      <c r="G220">
        <v>342</v>
      </c>
      <c r="H220">
        <v>350</v>
      </c>
      <c r="I220">
        <v>350</v>
      </c>
      <c r="J220" t="s">
        <v>441</v>
      </c>
      <c r="K220" t="s">
        <v>442</v>
      </c>
      <c r="L220">
        <v>38</v>
      </c>
      <c r="M220">
        <v>184</v>
      </c>
      <c r="N220">
        <v>222</v>
      </c>
      <c r="O220">
        <v>878</v>
      </c>
      <c r="P220">
        <v>346</v>
      </c>
      <c r="Q220">
        <v>354</v>
      </c>
      <c r="R220">
        <v>980</v>
      </c>
      <c r="S220">
        <v>236</v>
      </c>
    </row>
    <row r="221" spans="1:19" x14ac:dyDescent="0.4">
      <c r="A221" t="s">
        <v>67</v>
      </c>
      <c r="B221">
        <v>202111</v>
      </c>
      <c r="C221">
        <v>16700</v>
      </c>
      <c r="D221" t="s">
        <v>64</v>
      </c>
      <c r="E221">
        <v>324</v>
      </c>
      <c r="F221">
        <v>364</v>
      </c>
      <c r="G221">
        <v>294</v>
      </c>
      <c r="H221">
        <v>360</v>
      </c>
      <c r="I221">
        <v>360</v>
      </c>
      <c r="J221" t="s">
        <v>275</v>
      </c>
      <c r="K221" t="s">
        <v>252</v>
      </c>
      <c r="L221">
        <v>103</v>
      </c>
      <c r="M221">
        <v>362</v>
      </c>
      <c r="N221">
        <v>465</v>
      </c>
      <c r="O221">
        <v>2756</v>
      </c>
      <c r="P221">
        <v>358</v>
      </c>
      <c r="Q221">
        <v>361</v>
      </c>
      <c r="R221">
        <v>860</v>
      </c>
      <c r="S221">
        <v>284</v>
      </c>
    </row>
    <row r="222" spans="1:19" x14ac:dyDescent="0.4">
      <c r="A222" t="s">
        <v>67</v>
      </c>
      <c r="B222">
        <v>202111</v>
      </c>
      <c r="C222">
        <v>16800</v>
      </c>
      <c r="D222" t="s">
        <v>62</v>
      </c>
      <c r="E222">
        <v>360</v>
      </c>
      <c r="F222">
        <v>370</v>
      </c>
      <c r="G222">
        <v>289</v>
      </c>
      <c r="H222">
        <v>293</v>
      </c>
      <c r="I222">
        <v>293</v>
      </c>
      <c r="J222" t="s">
        <v>441</v>
      </c>
      <c r="K222" t="s">
        <v>443</v>
      </c>
      <c r="L222">
        <v>233</v>
      </c>
      <c r="M222">
        <v>496</v>
      </c>
      <c r="N222">
        <v>729</v>
      </c>
      <c r="O222">
        <v>909</v>
      </c>
      <c r="P222">
        <v>293</v>
      </c>
      <c r="Q222">
        <v>300</v>
      </c>
      <c r="R222">
        <v>820</v>
      </c>
      <c r="S222">
        <v>200</v>
      </c>
    </row>
    <row r="223" spans="1:19" x14ac:dyDescent="0.4">
      <c r="A223" t="s">
        <v>67</v>
      </c>
      <c r="B223">
        <v>202111</v>
      </c>
      <c r="C223">
        <v>16800</v>
      </c>
      <c r="D223" t="s">
        <v>64</v>
      </c>
      <c r="E223">
        <v>369</v>
      </c>
      <c r="F223">
        <v>410</v>
      </c>
      <c r="G223">
        <v>333</v>
      </c>
      <c r="H223">
        <v>402</v>
      </c>
      <c r="I223">
        <v>402</v>
      </c>
      <c r="J223" t="s">
        <v>89</v>
      </c>
      <c r="K223" t="s">
        <v>444</v>
      </c>
      <c r="L223">
        <v>91</v>
      </c>
      <c r="M223">
        <v>334</v>
      </c>
      <c r="N223">
        <v>425</v>
      </c>
      <c r="O223">
        <v>610</v>
      </c>
      <c r="P223">
        <v>399</v>
      </c>
      <c r="Q223">
        <v>406</v>
      </c>
      <c r="R223">
        <v>920</v>
      </c>
      <c r="S223">
        <v>292</v>
      </c>
    </row>
    <row r="224" spans="1:19" x14ac:dyDescent="0.4">
      <c r="A224" t="s">
        <v>67</v>
      </c>
      <c r="B224">
        <v>202111</v>
      </c>
      <c r="C224">
        <v>16900</v>
      </c>
      <c r="D224" t="s">
        <v>62</v>
      </c>
      <c r="E224">
        <v>295</v>
      </c>
      <c r="F224">
        <v>315</v>
      </c>
      <c r="G224">
        <v>239</v>
      </c>
      <c r="H224">
        <v>243</v>
      </c>
      <c r="I224">
        <v>243</v>
      </c>
      <c r="J224" t="s">
        <v>172</v>
      </c>
      <c r="K224" t="s">
        <v>445</v>
      </c>
      <c r="L224">
        <v>87</v>
      </c>
      <c r="M224">
        <v>441</v>
      </c>
      <c r="N224">
        <v>528</v>
      </c>
      <c r="O224">
        <v>828</v>
      </c>
      <c r="P224">
        <v>243</v>
      </c>
      <c r="Q224">
        <v>250</v>
      </c>
      <c r="R224">
        <v>735</v>
      </c>
      <c r="S224">
        <v>163</v>
      </c>
    </row>
    <row r="225" spans="1:19" x14ac:dyDescent="0.4">
      <c r="A225" t="s">
        <v>67</v>
      </c>
      <c r="B225">
        <v>202111</v>
      </c>
      <c r="C225">
        <v>16900</v>
      </c>
      <c r="D225" t="s">
        <v>64</v>
      </c>
      <c r="E225">
        <v>413</v>
      </c>
      <c r="F225">
        <v>461</v>
      </c>
      <c r="G225">
        <v>386</v>
      </c>
      <c r="H225">
        <v>461</v>
      </c>
      <c r="I225">
        <v>453</v>
      </c>
      <c r="J225" t="s">
        <v>230</v>
      </c>
      <c r="K225" t="s">
        <v>446</v>
      </c>
      <c r="L225">
        <v>41</v>
      </c>
      <c r="M225">
        <v>58</v>
      </c>
      <c r="N225">
        <v>99</v>
      </c>
      <c r="O225">
        <v>611</v>
      </c>
      <c r="P225">
        <v>450</v>
      </c>
      <c r="Q225">
        <v>456</v>
      </c>
      <c r="R225">
        <v>840</v>
      </c>
      <c r="S225">
        <v>315</v>
      </c>
    </row>
    <row r="226" spans="1:19" x14ac:dyDescent="0.4">
      <c r="A226" t="s">
        <v>67</v>
      </c>
      <c r="B226">
        <v>202111</v>
      </c>
      <c r="C226">
        <v>17000</v>
      </c>
      <c r="D226" t="s">
        <v>62</v>
      </c>
      <c r="E226">
        <v>274</v>
      </c>
      <c r="F226">
        <v>274</v>
      </c>
      <c r="G226">
        <v>198</v>
      </c>
      <c r="H226">
        <v>201</v>
      </c>
      <c r="I226">
        <v>201</v>
      </c>
      <c r="J226" t="s">
        <v>447</v>
      </c>
      <c r="K226" t="s">
        <v>448</v>
      </c>
      <c r="L226">
        <v>170</v>
      </c>
      <c r="M226">
        <v>664</v>
      </c>
      <c r="N226">
        <v>834</v>
      </c>
      <c r="O226">
        <v>1338</v>
      </c>
      <c r="P226">
        <v>201</v>
      </c>
      <c r="Q226">
        <v>207</v>
      </c>
      <c r="R226">
        <v>800</v>
      </c>
      <c r="S226">
        <v>134</v>
      </c>
    </row>
    <row r="227" spans="1:19" x14ac:dyDescent="0.4">
      <c r="A227" t="s">
        <v>67</v>
      </c>
      <c r="B227">
        <v>202111</v>
      </c>
      <c r="C227">
        <v>17000</v>
      </c>
      <c r="D227" t="s">
        <v>64</v>
      </c>
      <c r="E227">
        <v>465</v>
      </c>
      <c r="F227">
        <v>515</v>
      </c>
      <c r="G227">
        <v>438</v>
      </c>
      <c r="H227">
        <v>515</v>
      </c>
      <c r="I227">
        <v>515</v>
      </c>
      <c r="J227" t="s">
        <v>449</v>
      </c>
      <c r="K227" t="s">
        <v>450</v>
      </c>
      <c r="L227">
        <v>27</v>
      </c>
      <c r="M227">
        <v>73</v>
      </c>
      <c r="N227">
        <v>100</v>
      </c>
      <c r="O227">
        <v>465</v>
      </c>
      <c r="P227">
        <v>505</v>
      </c>
      <c r="Q227">
        <v>515</v>
      </c>
      <c r="R227">
        <v>980</v>
      </c>
      <c r="S227">
        <v>345</v>
      </c>
    </row>
    <row r="228" spans="1:19" x14ac:dyDescent="0.4">
      <c r="A228" t="s">
        <v>67</v>
      </c>
      <c r="B228">
        <v>202111</v>
      </c>
      <c r="C228">
        <v>17100</v>
      </c>
      <c r="D228" t="s">
        <v>62</v>
      </c>
      <c r="E228">
        <v>214</v>
      </c>
      <c r="F228">
        <v>217</v>
      </c>
      <c r="G228">
        <v>158</v>
      </c>
      <c r="H228">
        <v>163</v>
      </c>
      <c r="I228">
        <v>163</v>
      </c>
      <c r="J228" t="s">
        <v>451</v>
      </c>
      <c r="K228" t="s">
        <v>452</v>
      </c>
      <c r="L228">
        <v>238</v>
      </c>
      <c r="M228">
        <v>1436</v>
      </c>
      <c r="N228">
        <v>1674</v>
      </c>
      <c r="O228">
        <v>2896</v>
      </c>
      <c r="P228">
        <v>162</v>
      </c>
      <c r="Q228">
        <v>168</v>
      </c>
      <c r="R228">
        <v>685</v>
      </c>
      <c r="S228">
        <v>107</v>
      </c>
    </row>
    <row r="229" spans="1:19" x14ac:dyDescent="0.4">
      <c r="A229" t="s">
        <v>67</v>
      </c>
      <c r="B229">
        <v>202111</v>
      </c>
      <c r="C229">
        <v>17100</v>
      </c>
      <c r="D229" t="s">
        <v>64</v>
      </c>
      <c r="E229">
        <v>515</v>
      </c>
      <c r="F229">
        <v>575</v>
      </c>
      <c r="G229">
        <v>515</v>
      </c>
      <c r="H229">
        <v>575</v>
      </c>
      <c r="I229">
        <v>575</v>
      </c>
      <c r="J229" t="s">
        <v>144</v>
      </c>
      <c r="K229" t="s">
        <v>453</v>
      </c>
      <c r="L229">
        <v>7</v>
      </c>
      <c r="M229">
        <v>16</v>
      </c>
      <c r="N229">
        <v>23</v>
      </c>
      <c r="O229">
        <v>401</v>
      </c>
      <c r="P229">
        <v>565</v>
      </c>
      <c r="Q229">
        <v>575</v>
      </c>
      <c r="R229">
        <v>910</v>
      </c>
      <c r="S229">
        <v>386</v>
      </c>
    </row>
    <row r="230" spans="1:19" x14ac:dyDescent="0.4">
      <c r="A230" t="s">
        <v>67</v>
      </c>
      <c r="B230">
        <v>202111</v>
      </c>
      <c r="C230">
        <v>17200</v>
      </c>
      <c r="D230" t="s">
        <v>62</v>
      </c>
      <c r="E230">
        <v>180</v>
      </c>
      <c r="F230">
        <v>180</v>
      </c>
      <c r="G230">
        <v>126</v>
      </c>
      <c r="H230">
        <v>130</v>
      </c>
      <c r="I230">
        <v>130</v>
      </c>
      <c r="J230" t="s">
        <v>86</v>
      </c>
      <c r="K230" t="s">
        <v>454</v>
      </c>
      <c r="L230">
        <v>200</v>
      </c>
      <c r="M230">
        <v>709</v>
      </c>
      <c r="N230">
        <v>909</v>
      </c>
      <c r="O230">
        <v>1484</v>
      </c>
      <c r="P230">
        <v>129</v>
      </c>
      <c r="Q230">
        <v>135</v>
      </c>
      <c r="R230">
        <v>695</v>
      </c>
      <c r="S230">
        <v>64</v>
      </c>
    </row>
    <row r="231" spans="1:19" x14ac:dyDescent="0.4">
      <c r="A231" t="s">
        <v>67</v>
      </c>
      <c r="B231">
        <v>202111</v>
      </c>
      <c r="C231">
        <v>17200</v>
      </c>
      <c r="D231" t="s">
        <v>64</v>
      </c>
      <c r="E231">
        <v>565</v>
      </c>
      <c r="F231">
        <v>595</v>
      </c>
      <c r="G231">
        <v>545</v>
      </c>
      <c r="H231">
        <v>585</v>
      </c>
      <c r="I231">
        <v>640</v>
      </c>
      <c r="J231" t="s">
        <v>142</v>
      </c>
      <c r="K231" t="s">
        <v>455</v>
      </c>
      <c r="L231">
        <v>8</v>
      </c>
      <c r="M231">
        <v>6</v>
      </c>
      <c r="N231">
        <v>14</v>
      </c>
      <c r="O231">
        <v>775</v>
      </c>
      <c r="P231">
        <v>498</v>
      </c>
      <c r="Q231">
        <v>650</v>
      </c>
      <c r="R231">
        <v>1180</v>
      </c>
      <c r="S231">
        <v>320</v>
      </c>
    </row>
    <row r="232" spans="1:19" x14ac:dyDescent="0.4">
      <c r="A232" t="s">
        <v>67</v>
      </c>
      <c r="B232">
        <v>202111</v>
      </c>
      <c r="C232">
        <v>17300</v>
      </c>
      <c r="D232" t="s">
        <v>62</v>
      </c>
      <c r="E232">
        <v>143</v>
      </c>
      <c r="F232">
        <v>144</v>
      </c>
      <c r="G232">
        <v>98</v>
      </c>
      <c r="H232">
        <v>103</v>
      </c>
      <c r="I232">
        <v>103</v>
      </c>
      <c r="J232" t="s">
        <v>83</v>
      </c>
      <c r="K232" t="s">
        <v>456</v>
      </c>
      <c r="L232">
        <v>133</v>
      </c>
      <c r="M232">
        <v>940</v>
      </c>
      <c r="N232">
        <v>1073</v>
      </c>
      <c r="O232">
        <v>1575</v>
      </c>
      <c r="P232">
        <v>102</v>
      </c>
      <c r="Q232">
        <v>104</v>
      </c>
      <c r="R232">
        <v>615</v>
      </c>
      <c r="S232">
        <v>67</v>
      </c>
    </row>
    <row r="233" spans="1:19" x14ac:dyDescent="0.4">
      <c r="A233" t="s">
        <v>67</v>
      </c>
      <c r="B233">
        <v>202111</v>
      </c>
      <c r="C233">
        <v>17300</v>
      </c>
      <c r="D233" t="s">
        <v>64</v>
      </c>
      <c r="E233">
        <v>640</v>
      </c>
      <c r="F233">
        <v>715</v>
      </c>
      <c r="G233">
        <v>640</v>
      </c>
      <c r="H233">
        <v>715</v>
      </c>
      <c r="I233">
        <v>715</v>
      </c>
      <c r="J233" t="s">
        <v>144</v>
      </c>
      <c r="K233" t="s">
        <v>457</v>
      </c>
      <c r="L233">
        <v>0</v>
      </c>
      <c r="M233">
        <v>7</v>
      </c>
      <c r="N233">
        <v>7</v>
      </c>
      <c r="O233">
        <v>1347</v>
      </c>
      <c r="P233">
        <v>675</v>
      </c>
      <c r="Q233">
        <v>725</v>
      </c>
      <c r="R233">
        <v>1250</v>
      </c>
      <c r="S233">
        <v>450</v>
      </c>
    </row>
    <row r="234" spans="1:19" x14ac:dyDescent="0.4">
      <c r="A234" t="s">
        <v>67</v>
      </c>
      <c r="B234">
        <v>202111</v>
      </c>
      <c r="C234">
        <v>17400</v>
      </c>
      <c r="D234" t="s">
        <v>62</v>
      </c>
      <c r="E234">
        <v>114</v>
      </c>
      <c r="F234">
        <v>114</v>
      </c>
      <c r="G234">
        <v>77</v>
      </c>
      <c r="H234">
        <v>81</v>
      </c>
      <c r="I234">
        <v>81</v>
      </c>
      <c r="J234" t="s">
        <v>113</v>
      </c>
      <c r="K234" t="s">
        <v>458</v>
      </c>
      <c r="L234">
        <v>282</v>
      </c>
      <c r="M234">
        <v>1269</v>
      </c>
      <c r="N234">
        <v>1551</v>
      </c>
      <c r="O234">
        <v>1654</v>
      </c>
      <c r="P234">
        <v>80</v>
      </c>
      <c r="Q234">
        <v>85</v>
      </c>
      <c r="R234">
        <v>560</v>
      </c>
      <c r="S234">
        <v>53</v>
      </c>
    </row>
    <row r="235" spans="1:19" x14ac:dyDescent="0.4">
      <c r="A235" t="s">
        <v>67</v>
      </c>
      <c r="B235">
        <v>202111</v>
      </c>
      <c r="C235">
        <v>17400</v>
      </c>
      <c r="D235" t="s">
        <v>64</v>
      </c>
      <c r="E235">
        <v>695</v>
      </c>
      <c r="F235">
        <v>795</v>
      </c>
      <c r="G235">
        <v>695</v>
      </c>
      <c r="H235">
        <v>795</v>
      </c>
      <c r="I235">
        <v>795</v>
      </c>
      <c r="J235" t="s">
        <v>328</v>
      </c>
      <c r="K235" s="28" t="s">
        <v>459</v>
      </c>
      <c r="L235">
        <v>0</v>
      </c>
      <c r="M235">
        <v>6</v>
      </c>
      <c r="N235">
        <v>6</v>
      </c>
      <c r="O235">
        <v>466</v>
      </c>
      <c r="P235">
        <v>775</v>
      </c>
      <c r="Q235">
        <v>805</v>
      </c>
      <c r="R235">
        <v>1190</v>
      </c>
      <c r="S235">
        <v>495</v>
      </c>
    </row>
    <row r="236" spans="1:19" x14ac:dyDescent="0.4">
      <c r="A236" t="s">
        <v>67</v>
      </c>
      <c r="B236">
        <v>202111</v>
      </c>
      <c r="C236">
        <v>17500</v>
      </c>
      <c r="D236" t="s">
        <v>62</v>
      </c>
      <c r="E236">
        <v>90</v>
      </c>
      <c r="F236">
        <v>90</v>
      </c>
      <c r="G236">
        <v>58</v>
      </c>
      <c r="H236">
        <v>63</v>
      </c>
      <c r="I236">
        <v>63</v>
      </c>
      <c r="J236" t="s">
        <v>142</v>
      </c>
      <c r="K236" t="s">
        <v>460</v>
      </c>
      <c r="L236">
        <v>190</v>
      </c>
      <c r="M236">
        <v>1123</v>
      </c>
      <c r="N236">
        <v>1313</v>
      </c>
      <c r="O236">
        <v>1922</v>
      </c>
      <c r="P236">
        <v>63</v>
      </c>
      <c r="Q236">
        <v>64</v>
      </c>
      <c r="R236">
        <v>525</v>
      </c>
      <c r="S236">
        <v>41</v>
      </c>
    </row>
    <row r="237" spans="1:19" x14ac:dyDescent="0.4">
      <c r="A237" t="s">
        <v>67</v>
      </c>
      <c r="B237">
        <v>202111</v>
      </c>
      <c r="C237">
        <v>17500</v>
      </c>
      <c r="D237" t="s">
        <v>64</v>
      </c>
      <c r="E237">
        <v>795</v>
      </c>
      <c r="F237">
        <v>820</v>
      </c>
      <c r="G237">
        <v>795</v>
      </c>
      <c r="H237">
        <v>820</v>
      </c>
      <c r="I237">
        <v>875</v>
      </c>
      <c r="J237" t="s">
        <v>101</v>
      </c>
      <c r="K237" t="s">
        <v>285</v>
      </c>
      <c r="L237">
        <v>0</v>
      </c>
      <c r="M237">
        <v>2</v>
      </c>
      <c r="N237">
        <v>2</v>
      </c>
      <c r="O237">
        <v>24</v>
      </c>
      <c r="P237">
        <v>730</v>
      </c>
      <c r="Q237">
        <v>885</v>
      </c>
      <c r="R237">
        <v>1350</v>
      </c>
      <c r="S237">
        <v>414</v>
      </c>
    </row>
    <row r="238" spans="1:19" x14ac:dyDescent="0.4">
      <c r="A238" t="s">
        <v>67</v>
      </c>
      <c r="B238">
        <v>202111</v>
      </c>
      <c r="C238">
        <v>17600</v>
      </c>
      <c r="D238" t="s">
        <v>62</v>
      </c>
      <c r="E238">
        <v>70</v>
      </c>
      <c r="F238">
        <v>70</v>
      </c>
      <c r="G238">
        <v>45</v>
      </c>
      <c r="H238">
        <v>48</v>
      </c>
      <c r="I238">
        <v>48</v>
      </c>
      <c r="J238" t="s">
        <v>140</v>
      </c>
      <c r="K238" t="s">
        <v>124</v>
      </c>
      <c r="L238">
        <v>186</v>
      </c>
      <c r="M238">
        <v>818</v>
      </c>
      <c r="N238">
        <v>1004</v>
      </c>
      <c r="O238">
        <v>2162</v>
      </c>
      <c r="P238">
        <v>48</v>
      </c>
      <c r="Q238">
        <v>50</v>
      </c>
      <c r="R238">
        <v>457</v>
      </c>
      <c r="S238">
        <v>32</v>
      </c>
    </row>
    <row r="239" spans="1:19" x14ac:dyDescent="0.4">
      <c r="A239" t="s">
        <v>67</v>
      </c>
      <c r="B239">
        <v>202111</v>
      </c>
      <c r="C239">
        <v>17600</v>
      </c>
      <c r="D239" t="s">
        <v>64</v>
      </c>
      <c r="E239">
        <v>885</v>
      </c>
      <c r="F239">
        <v>970</v>
      </c>
      <c r="G239">
        <v>885</v>
      </c>
      <c r="H239">
        <v>970</v>
      </c>
      <c r="I239">
        <v>960</v>
      </c>
      <c r="J239" t="s">
        <v>461</v>
      </c>
      <c r="K239" t="s">
        <v>462</v>
      </c>
      <c r="L239">
        <v>0</v>
      </c>
      <c r="M239">
        <v>5</v>
      </c>
      <c r="N239">
        <v>5</v>
      </c>
      <c r="O239">
        <v>11</v>
      </c>
      <c r="P239">
        <v>940</v>
      </c>
      <c r="Q239">
        <v>970</v>
      </c>
      <c r="R239">
        <v>1270</v>
      </c>
      <c r="S239">
        <v>600</v>
      </c>
    </row>
    <row r="240" spans="1:19" x14ac:dyDescent="0.4">
      <c r="A240" t="s">
        <v>67</v>
      </c>
      <c r="B240">
        <v>202111</v>
      </c>
      <c r="C240">
        <v>17700</v>
      </c>
      <c r="D240" t="s">
        <v>62</v>
      </c>
      <c r="E240">
        <v>51</v>
      </c>
      <c r="F240">
        <v>52</v>
      </c>
      <c r="G240">
        <v>34</v>
      </c>
      <c r="H240">
        <v>37.5</v>
      </c>
      <c r="I240">
        <v>37.5</v>
      </c>
      <c r="J240" t="s">
        <v>463</v>
      </c>
      <c r="K240" t="s">
        <v>124</v>
      </c>
      <c r="L240">
        <v>110</v>
      </c>
      <c r="M240">
        <v>454</v>
      </c>
      <c r="N240">
        <v>564</v>
      </c>
      <c r="O240">
        <v>1641</v>
      </c>
      <c r="P240">
        <v>37.5</v>
      </c>
      <c r="Q240">
        <v>40</v>
      </c>
      <c r="R240">
        <v>398</v>
      </c>
      <c r="S240">
        <v>25.5</v>
      </c>
    </row>
    <row r="241" spans="1:19" x14ac:dyDescent="0.4">
      <c r="A241" t="s">
        <v>67</v>
      </c>
      <c r="B241">
        <v>202111</v>
      </c>
      <c r="C241">
        <v>17700</v>
      </c>
      <c r="D241" t="s">
        <v>64</v>
      </c>
      <c r="E241" t="s">
        <v>63</v>
      </c>
      <c r="F241" t="s">
        <v>63</v>
      </c>
      <c r="G241" t="s">
        <v>63</v>
      </c>
      <c r="H241" t="s">
        <v>63</v>
      </c>
      <c r="I241">
        <v>1050</v>
      </c>
      <c r="J241" t="s">
        <v>68</v>
      </c>
      <c r="K241" t="s">
        <v>68</v>
      </c>
      <c r="L241">
        <v>0</v>
      </c>
      <c r="M241">
        <v>0</v>
      </c>
      <c r="N241">
        <v>0</v>
      </c>
      <c r="O241">
        <v>7</v>
      </c>
      <c r="P241">
        <v>910</v>
      </c>
      <c r="Q241">
        <v>1190</v>
      </c>
      <c r="R241">
        <v>1460</v>
      </c>
      <c r="S241">
        <v>690</v>
      </c>
    </row>
    <row r="242" spans="1:19" x14ac:dyDescent="0.4">
      <c r="A242" t="s">
        <v>67</v>
      </c>
      <c r="B242">
        <v>202111</v>
      </c>
      <c r="C242">
        <v>17800</v>
      </c>
      <c r="D242" t="s">
        <v>62</v>
      </c>
      <c r="E242">
        <v>40.5</v>
      </c>
      <c r="F242">
        <v>41.5</v>
      </c>
      <c r="G242">
        <v>27.5</v>
      </c>
      <c r="H242">
        <v>30</v>
      </c>
      <c r="I242">
        <v>30</v>
      </c>
      <c r="J242" t="s">
        <v>139</v>
      </c>
      <c r="K242" t="s">
        <v>464</v>
      </c>
      <c r="L242">
        <v>48</v>
      </c>
      <c r="M242">
        <v>1473</v>
      </c>
      <c r="N242">
        <v>1521</v>
      </c>
      <c r="O242">
        <v>2166</v>
      </c>
      <c r="P242">
        <v>27</v>
      </c>
      <c r="Q242">
        <v>30</v>
      </c>
      <c r="R242">
        <v>362</v>
      </c>
      <c r="S242">
        <v>20</v>
      </c>
    </row>
    <row r="243" spans="1:19" x14ac:dyDescent="0.4">
      <c r="A243" t="s">
        <v>67</v>
      </c>
      <c r="B243">
        <v>202111</v>
      </c>
      <c r="C243">
        <v>17800</v>
      </c>
      <c r="D243" t="s">
        <v>64</v>
      </c>
      <c r="E243" t="s">
        <v>63</v>
      </c>
      <c r="F243" t="s">
        <v>63</v>
      </c>
      <c r="G243" t="s">
        <v>63</v>
      </c>
      <c r="H243" t="s">
        <v>63</v>
      </c>
      <c r="I243">
        <v>1140</v>
      </c>
      <c r="J243" t="s">
        <v>68</v>
      </c>
      <c r="K243" t="s">
        <v>68</v>
      </c>
      <c r="L243">
        <v>0</v>
      </c>
      <c r="M243">
        <v>0</v>
      </c>
      <c r="N243">
        <v>0</v>
      </c>
      <c r="O243">
        <v>2</v>
      </c>
      <c r="P243">
        <v>990</v>
      </c>
      <c r="Q243">
        <v>1260</v>
      </c>
      <c r="R243">
        <v>1420</v>
      </c>
      <c r="S243">
        <v>715</v>
      </c>
    </row>
    <row r="244" spans="1:19" x14ac:dyDescent="0.4">
      <c r="A244" t="s">
        <v>67</v>
      </c>
      <c r="B244">
        <v>202111</v>
      </c>
      <c r="C244">
        <v>17900</v>
      </c>
      <c r="D244" t="s">
        <v>62</v>
      </c>
      <c r="E244">
        <v>31</v>
      </c>
      <c r="F244">
        <v>32</v>
      </c>
      <c r="G244">
        <v>21</v>
      </c>
      <c r="H244">
        <v>23</v>
      </c>
      <c r="I244">
        <v>23</v>
      </c>
      <c r="J244" t="s">
        <v>95</v>
      </c>
      <c r="K244" t="s">
        <v>289</v>
      </c>
      <c r="L244">
        <v>47</v>
      </c>
      <c r="M244">
        <v>989</v>
      </c>
      <c r="N244">
        <v>1036</v>
      </c>
      <c r="O244">
        <v>1229</v>
      </c>
      <c r="P244">
        <v>23</v>
      </c>
      <c r="Q244">
        <v>23.5</v>
      </c>
      <c r="R244">
        <v>311</v>
      </c>
      <c r="S244">
        <v>16</v>
      </c>
    </row>
    <row r="245" spans="1:19" x14ac:dyDescent="0.4">
      <c r="A245" t="s">
        <v>67</v>
      </c>
      <c r="B245">
        <v>202111</v>
      </c>
      <c r="C245">
        <v>17900</v>
      </c>
      <c r="D245" t="s">
        <v>64</v>
      </c>
      <c r="E245" t="s">
        <v>63</v>
      </c>
      <c r="F245" t="s">
        <v>63</v>
      </c>
      <c r="G245" t="s">
        <v>63</v>
      </c>
      <c r="H245" t="s">
        <v>63</v>
      </c>
      <c r="I245">
        <v>1230</v>
      </c>
      <c r="J245" t="s">
        <v>68</v>
      </c>
      <c r="K245" t="s">
        <v>68</v>
      </c>
      <c r="L245">
        <v>0</v>
      </c>
      <c r="M245">
        <v>0</v>
      </c>
      <c r="N245">
        <v>0</v>
      </c>
      <c r="O245">
        <v>11</v>
      </c>
      <c r="P245">
        <v>1100</v>
      </c>
      <c r="Q245">
        <v>1360</v>
      </c>
      <c r="R245">
        <v>1640</v>
      </c>
      <c r="S245">
        <v>820</v>
      </c>
    </row>
    <row r="246" spans="1:19" x14ac:dyDescent="0.4">
      <c r="A246" t="s">
        <v>67</v>
      </c>
      <c r="B246">
        <v>202111</v>
      </c>
      <c r="C246">
        <v>18000</v>
      </c>
      <c r="D246" t="s">
        <v>62</v>
      </c>
      <c r="E246">
        <v>23.5</v>
      </c>
      <c r="F246">
        <v>24.5</v>
      </c>
      <c r="G246">
        <v>16.5</v>
      </c>
      <c r="H246">
        <v>18.5</v>
      </c>
      <c r="I246">
        <v>18.5</v>
      </c>
      <c r="J246" t="s">
        <v>77</v>
      </c>
      <c r="K246" t="s">
        <v>465</v>
      </c>
      <c r="L246">
        <v>165</v>
      </c>
      <c r="M246">
        <v>573</v>
      </c>
      <c r="N246">
        <v>738</v>
      </c>
      <c r="O246">
        <v>2453</v>
      </c>
      <c r="P246">
        <v>18</v>
      </c>
      <c r="Q246">
        <v>20</v>
      </c>
      <c r="R246">
        <v>300</v>
      </c>
      <c r="S246">
        <v>13</v>
      </c>
    </row>
    <row r="247" spans="1:19" x14ac:dyDescent="0.4">
      <c r="A247" t="s">
        <v>67</v>
      </c>
      <c r="B247">
        <v>202111</v>
      </c>
      <c r="C247">
        <v>18000</v>
      </c>
      <c r="D247" t="s">
        <v>64</v>
      </c>
      <c r="E247" t="s">
        <v>63</v>
      </c>
      <c r="F247" t="s">
        <v>63</v>
      </c>
      <c r="G247" t="s">
        <v>63</v>
      </c>
      <c r="H247" t="s">
        <v>63</v>
      </c>
      <c r="I247">
        <v>1330</v>
      </c>
      <c r="J247" t="s">
        <v>68</v>
      </c>
      <c r="K247" t="s">
        <v>68</v>
      </c>
      <c r="L247">
        <v>0</v>
      </c>
      <c r="M247">
        <v>0</v>
      </c>
      <c r="N247">
        <v>0</v>
      </c>
      <c r="O247">
        <v>3</v>
      </c>
      <c r="P247">
        <v>1180</v>
      </c>
      <c r="Q247">
        <v>1470</v>
      </c>
      <c r="R247">
        <v>1500</v>
      </c>
      <c r="S247">
        <v>860</v>
      </c>
    </row>
    <row r="248" spans="1:19" x14ac:dyDescent="0.4">
      <c r="A248" t="s">
        <v>67</v>
      </c>
      <c r="B248">
        <v>202111</v>
      </c>
      <c r="C248">
        <v>18100</v>
      </c>
      <c r="D248" t="s">
        <v>62</v>
      </c>
      <c r="E248">
        <v>17.5</v>
      </c>
      <c r="F248">
        <v>19</v>
      </c>
      <c r="G248">
        <v>12.5</v>
      </c>
      <c r="H248">
        <v>13.5</v>
      </c>
      <c r="I248">
        <v>13.5</v>
      </c>
      <c r="J248" t="s">
        <v>77</v>
      </c>
      <c r="K248" t="s">
        <v>466</v>
      </c>
      <c r="L248">
        <v>9</v>
      </c>
      <c r="M248">
        <v>186</v>
      </c>
      <c r="N248">
        <v>195</v>
      </c>
      <c r="O248">
        <v>797</v>
      </c>
      <c r="P248">
        <v>12</v>
      </c>
      <c r="Q248">
        <v>15</v>
      </c>
      <c r="R248">
        <v>268</v>
      </c>
      <c r="S248">
        <v>10</v>
      </c>
    </row>
    <row r="249" spans="1:19" x14ac:dyDescent="0.4">
      <c r="A249" t="s">
        <v>67</v>
      </c>
      <c r="B249">
        <v>202111</v>
      </c>
      <c r="C249">
        <v>18100</v>
      </c>
      <c r="D249" t="s">
        <v>64</v>
      </c>
      <c r="E249" t="s">
        <v>63</v>
      </c>
      <c r="F249" t="s">
        <v>63</v>
      </c>
      <c r="G249" t="s">
        <v>63</v>
      </c>
      <c r="H249" t="s">
        <v>63</v>
      </c>
      <c r="I249">
        <v>1420</v>
      </c>
      <c r="J249" t="s">
        <v>68</v>
      </c>
      <c r="K249" t="s">
        <v>68</v>
      </c>
      <c r="L249">
        <v>0</v>
      </c>
      <c r="M249">
        <v>0</v>
      </c>
      <c r="N249">
        <v>0</v>
      </c>
      <c r="O249">
        <v>3</v>
      </c>
      <c r="P249">
        <v>1280</v>
      </c>
      <c r="Q249">
        <v>1550</v>
      </c>
      <c r="R249">
        <v>1460</v>
      </c>
      <c r="S249">
        <v>995</v>
      </c>
    </row>
    <row r="250" spans="1:19" x14ac:dyDescent="0.4">
      <c r="A250" t="s">
        <v>67</v>
      </c>
      <c r="B250">
        <v>202111</v>
      </c>
      <c r="C250">
        <v>18200</v>
      </c>
      <c r="D250" t="s">
        <v>62</v>
      </c>
      <c r="E250">
        <v>14.5</v>
      </c>
      <c r="F250">
        <v>14.5</v>
      </c>
      <c r="G250">
        <v>10.5</v>
      </c>
      <c r="H250">
        <v>11.5</v>
      </c>
      <c r="I250">
        <v>11.5</v>
      </c>
      <c r="J250" t="s">
        <v>81</v>
      </c>
      <c r="K250" t="s">
        <v>467</v>
      </c>
      <c r="L250">
        <v>18</v>
      </c>
      <c r="M250">
        <v>75</v>
      </c>
      <c r="N250">
        <v>93</v>
      </c>
      <c r="O250">
        <v>538</v>
      </c>
      <c r="P250">
        <v>8.8000000000000007</v>
      </c>
      <c r="Q250">
        <v>12</v>
      </c>
      <c r="R250">
        <v>220</v>
      </c>
      <c r="S250">
        <v>7.5</v>
      </c>
    </row>
    <row r="251" spans="1:19" x14ac:dyDescent="0.4">
      <c r="A251" t="s">
        <v>67</v>
      </c>
      <c r="B251">
        <v>202111</v>
      </c>
      <c r="C251">
        <v>18200</v>
      </c>
      <c r="D251" t="s">
        <v>64</v>
      </c>
      <c r="E251" t="s">
        <v>63</v>
      </c>
      <c r="F251" t="s">
        <v>63</v>
      </c>
      <c r="G251" t="s">
        <v>63</v>
      </c>
      <c r="H251" t="s">
        <v>63</v>
      </c>
      <c r="I251">
        <v>1520</v>
      </c>
      <c r="J251" t="s">
        <v>68</v>
      </c>
      <c r="K251" t="s">
        <v>68</v>
      </c>
      <c r="L251">
        <v>0</v>
      </c>
      <c r="M251">
        <v>0</v>
      </c>
      <c r="N251">
        <v>0</v>
      </c>
      <c r="O251">
        <v>0</v>
      </c>
      <c r="P251">
        <v>1370</v>
      </c>
      <c r="Q251">
        <v>1660</v>
      </c>
      <c r="R251" t="s">
        <v>63</v>
      </c>
      <c r="S251" t="s">
        <v>63</v>
      </c>
    </row>
    <row r="252" spans="1:19" x14ac:dyDescent="0.4">
      <c r="A252" t="s">
        <v>67</v>
      </c>
      <c r="B252">
        <v>202111</v>
      </c>
      <c r="C252">
        <v>18300</v>
      </c>
      <c r="D252" t="s">
        <v>62</v>
      </c>
      <c r="E252">
        <v>10</v>
      </c>
      <c r="F252">
        <v>12</v>
      </c>
      <c r="G252">
        <v>8.3000000000000007</v>
      </c>
      <c r="H252">
        <v>9.3000000000000007</v>
      </c>
      <c r="I252">
        <v>9.3000000000000007</v>
      </c>
      <c r="J252" t="s">
        <v>277</v>
      </c>
      <c r="K252" t="s">
        <v>468</v>
      </c>
      <c r="L252">
        <v>6</v>
      </c>
      <c r="M252">
        <v>101</v>
      </c>
      <c r="N252">
        <v>107</v>
      </c>
      <c r="O252">
        <v>532</v>
      </c>
      <c r="P252">
        <v>8.5</v>
      </c>
      <c r="Q252">
        <v>9.8000000000000007</v>
      </c>
      <c r="R252">
        <v>189</v>
      </c>
      <c r="S252">
        <v>7.5</v>
      </c>
    </row>
    <row r="253" spans="1:19" x14ac:dyDescent="0.4">
      <c r="A253" t="s">
        <v>67</v>
      </c>
      <c r="B253">
        <v>202111</v>
      </c>
      <c r="C253">
        <v>18300</v>
      </c>
      <c r="D253" t="s">
        <v>64</v>
      </c>
      <c r="E253" t="s">
        <v>63</v>
      </c>
      <c r="F253" t="s">
        <v>63</v>
      </c>
      <c r="G253" t="s">
        <v>63</v>
      </c>
      <c r="H253" t="s">
        <v>63</v>
      </c>
      <c r="I253">
        <v>1620</v>
      </c>
      <c r="J253" t="s">
        <v>68</v>
      </c>
      <c r="K253" t="s">
        <v>68</v>
      </c>
      <c r="L253">
        <v>0</v>
      </c>
      <c r="M253">
        <v>0</v>
      </c>
      <c r="N253">
        <v>0</v>
      </c>
      <c r="O253">
        <v>0</v>
      </c>
      <c r="P253">
        <v>1470</v>
      </c>
      <c r="Q253">
        <v>1760</v>
      </c>
      <c r="R253" t="s">
        <v>63</v>
      </c>
      <c r="S253" t="s">
        <v>63</v>
      </c>
    </row>
    <row r="254" spans="1:19" x14ac:dyDescent="0.4">
      <c r="A254" t="s">
        <v>67</v>
      </c>
      <c r="B254">
        <v>202111</v>
      </c>
      <c r="C254">
        <v>18400</v>
      </c>
      <c r="D254" t="s">
        <v>62</v>
      </c>
      <c r="E254">
        <v>9</v>
      </c>
      <c r="F254">
        <v>9.4</v>
      </c>
      <c r="G254">
        <v>7.2</v>
      </c>
      <c r="H254">
        <v>7.2</v>
      </c>
      <c r="I254">
        <v>7.2</v>
      </c>
      <c r="J254" t="s">
        <v>278</v>
      </c>
      <c r="K254" t="s">
        <v>469</v>
      </c>
      <c r="L254">
        <v>100</v>
      </c>
      <c r="M254">
        <v>18</v>
      </c>
      <c r="N254">
        <v>118</v>
      </c>
      <c r="O254">
        <v>374</v>
      </c>
      <c r="P254">
        <v>5.9</v>
      </c>
      <c r="Q254">
        <v>8</v>
      </c>
      <c r="R254">
        <v>161</v>
      </c>
      <c r="S254">
        <v>6.5</v>
      </c>
    </row>
    <row r="255" spans="1:19" x14ac:dyDescent="0.4">
      <c r="A255" t="s">
        <v>67</v>
      </c>
      <c r="B255">
        <v>202111</v>
      </c>
      <c r="C255">
        <v>18400</v>
      </c>
      <c r="D255" t="s">
        <v>64</v>
      </c>
      <c r="E255" t="s">
        <v>63</v>
      </c>
      <c r="F255" t="s">
        <v>63</v>
      </c>
      <c r="G255" t="s">
        <v>63</v>
      </c>
      <c r="H255" t="s">
        <v>63</v>
      </c>
      <c r="I255">
        <v>1720</v>
      </c>
      <c r="J255" t="s">
        <v>68</v>
      </c>
      <c r="K255" t="s">
        <v>68</v>
      </c>
      <c r="L255">
        <v>0</v>
      </c>
      <c r="M255">
        <v>0</v>
      </c>
      <c r="N255">
        <v>0</v>
      </c>
      <c r="O255">
        <v>120</v>
      </c>
      <c r="P255">
        <v>1570</v>
      </c>
      <c r="Q255">
        <v>1860</v>
      </c>
      <c r="R255">
        <v>2030</v>
      </c>
      <c r="S255">
        <v>1900</v>
      </c>
    </row>
    <row r="256" spans="1:19" x14ac:dyDescent="0.4">
      <c r="A256" t="s">
        <v>67</v>
      </c>
      <c r="B256">
        <v>202111</v>
      </c>
      <c r="C256">
        <v>18500</v>
      </c>
      <c r="D256" t="s">
        <v>62</v>
      </c>
      <c r="E256">
        <v>6.4</v>
      </c>
      <c r="F256">
        <v>7.7</v>
      </c>
      <c r="G256">
        <v>6</v>
      </c>
      <c r="H256">
        <v>6.5</v>
      </c>
      <c r="I256">
        <v>6.5</v>
      </c>
      <c r="J256" t="s">
        <v>282</v>
      </c>
      <c r="K256" t="s">
        <v>470</v>
      </c>
      <c r="L256">
        <v>0</v>
      </c>
      <c r="M256">
        <v>43</v>
      </c>
      <c r="N256">
        <v>43</v>
      </c>
      <c r="O256">
        <v>273</v>
      </c>
      <c r="P256">
        <v>5.5</v>
      </c>
      <c r="Q256">
        <v>6.7</v>
      </c>
      <c r="R256">
        <v>142</v>
      </c>
      <c r="S256">
        <v>1.7</v>
      </c>
    </row>
    <row r="257" spans="1:19" x14ac:dyDescent="0.4">
      <c r="A257" t="s">
        <v>67</v>
      </c>
      <c r="B257">
        <v>202111</v>
      </c>
      <c r="C257">
        <v>18500</v>
      </c>
      <c r="D257" t="s">
        <v>64</v>
      </c>
      <c r="E257" t="s">
        <v>63</v>
      </c>
      <c r="F257" t="s">
        <v>63</v>
      </c>
      <c r="G257" t="s">
        <v>63</v>
      </c>
      <c r="H257" t="s">
        <v>63</v>
      </c>
      <c r="I257">
        <v>1820</v>
      </c>
      <c r="J257" t="s">
        <v>68</v>
      </c>
      <c r="K257" t="s">
        <v>68</v>
      </c>
      <c r="L257">
        <v>0</v>
      </c>
      <c r="M257">
        <v>0</v>
      </c>
      <c r="N257">
        <v>0</v>
      </c>
      <c r="O257">
        <v>0</v>
      </c>
      <c r="P257">
        <v>1650</v>
      </c>
      <c r="Q257">
        <v>1950</v>
      </c>
      <c r="R257" t="s">
        <v>63</v>
      </c>
      <c r="S257" t="s">
        <v>63</v>
      </c>
    </row>
    <row r="258" spans="1:19" x14ac:dyDescent="0.4">
      <c r="A258" t="s">
        <v>67</v>
      </c>
      <c r="B258">
        <v>202111</v>
      </c>
      <c r="C258">
        <v>18600</v>
      </c>
      <c r="D258" t="s">
        <v>62</v>
      </c>
      <c r="E258">
        <v>5.0999999999999996</v>
      </c>
      <c r="F258">
        <v>5.7</v>
      </c>
      <c r="G258">
        <v>4.8</v>
      </c>
      <c r="H258">
        <v>5.4</v>
      </c>
      <c r="I258">
        <v>5.4</v>
      </c>
      <c r="J258" t="s">
        <v>278</v>
      </c>
      <c r="K258" s="28" t="s">
        <v>471</v>
      </c>
      <c r="L258">
        <v>0</v>
      </c>
      <c r="M258">
        <v>5</v>
      </c>
      <c r="N258">
        <v>5</v>
      </c>
      <c r="O258">
        <v>552</v>
      </c>
      <c r="P258">
        <v>4.5</v>
      </c>
      <c r="Q258">
        <v>7.6</v>
      </c>
      <c r="R258">
        <v>129</v>
      </c>
      <c r="S258">
        <v>4.0999999999999996</v>
      </c>
    </row>
    <row r="259" spans="1:19" x14ac:dyDescent="0.4">
      <c r="A259" t="s">
        <v>67</v>
      </c>
      <c r="B259">
        <v>202111</v>
      </c>
      <c r="C259">
        <v>18600</v>
      </c>
      <c r="D259" t="s">
        <v>64</v>
      </c>
      <c r="E259" t="s">
        <v>63</v>
      </c>
      <c r="F259" t="s">
        <v>63</v>
      </c>
      <c r="G259" t="s">
        <v>63</v>
      </c>
      <c r="H259" t="s">
        <v>63</v>
      </c>
      <c r="I259">
        <v>1910</v>
      </c>
      <c r="J259" t="s">
        <v>68</v>
      </c>
      <c r="K259" t="s">
        <v>68</v>
      </c>
      <c r="L259">
        <v>0</v>
      </c>
      <c r="M259">
        <v>0</v>
      </c>
      <c r="N259">
        <v>0</v>
      </c>
      <c r="O259">
        <v>0</v>
      </c>
      <c r="P259">
        <v>1750</v>
      </c>
      <c r="Q259">
        <v>2040</v>
      </c>
      <c r="R259" t="s">
        <v>63</v>
      </c>
      <c r="S259" t="s">
        <v>63</v>
      </c>
    </row>
    <row r="260" spans="1:19" x14ac:dyDescent="0.4">
      <c r="A260" t="s">
        <v>67</v>
      </c>
      <c r="B260">
        <v>202111</v>
      </c>
      <c r="C260">
        <v>18700</v>
      </c>
      <c r="D260" t="s">
        <v>62</v>
      </c>
      <c r="E260">
        <v>6.5</v>
      </c>
      <c r="F260">
        <v>6.5</v>
      </c>
      <c r="G260">
        <v>6.5</v>
      </c>
      <c r="H260">
        <v>6.5</v>
      </c>
      <c r="I260">
        <v>5</v>
      </c>
      <c r="J260" t="s">
        <v>73</v>
      </c>
      <c r="K260" s="28">
        <v>0</v>
      </c>
      <c r="L260">
        <v>0</v>
      </c>
      <c r="M260">
        <v>1</v>
      </c>
      <c r="N260">
        <v>1</v>
      </c>
      <c r="O260">
        <v>57</v>
      </c>
      <c r="P260">
        <v>2</v>
      </c>
      <c r="Q260">
        <v>6.6</v>
      </c>
      <c r="R260">
        <v>105</v>
      </c>
      <c r="S260">
        <v>4</v>
      </c>
    </row>
    <row r="261" spans="1:19" x14ac:dyDescent="0.4">
      <c r="A261" t="s">
        <v>67</v>
      </c>
      <c r="B261">
        <v>202111</v>
      </c>
      <c r="C261">
        <v>18700</v>
      </c>
      <c r="D261" t="s">
        <v>64</v>
      </c>
      <c r="E261" t="s">
        <v>63</v>
      </c>
      <c r="F261" t="s">
        <v>63</v>
      </c>
      <c r="G261" t="s">
        <v>63</v>
      </c>
      <c r="H261" t="s">
        <v>63</v>
      </c>
      <c r="I261">
        <v>2010</v>
      </c>
      <c r="J261" t="s">
        <v>68</v>
      </c>
      <c r="K261" t="s">
        <v>68</v>
      </c>
      <c r="L261">
        <v>0</v>
      </c>
      <c r="M261">
        <v>0</v>
      </c>
      <c r="N261">
        <v>0</v>
      </c>
      <c r="O261">
        <v>0</v>
      </c>
      <c r="P261">
        <v>1850</v>
      </c>
      <c r="Q261">
        <v>2140</v>
      </c>
      <c r="R261" t="s">
        <v>63</v>
      </c>
      <c r="S261" t="s">
        <v>63</v>
      </c>
    </row>
    <row r="262" spans="1:19" x14ac:dyDescent="0.4">
      <c r="A262" t="s">
        <v>67</v>
      </c>
      <c r="B262">
        <v>202111</v>
      </c>
      <c r="C262">
        <v>18800</v>
      </c>
      <c r="D262" t="s">
        <v>62</v>
      </c>
      <c r="E262">
        <v>4.5999999999999996</v>
      </c>
      <c r="F262">
        <v>4.5999999999999996</v>
      </c>
      <c r="G262">
        <v>3.8</v>
      </c>
      <c r="H262">
        <v>4.5999999999999996</v>
      </c>
      <c r="I262">
        <v>4.5999999999999996</v>
      </c>
      <c r="J262" t="s">
        <v>69</v>
      </c>
      <c r="K262" t="s">
        <v>472</v>
      </c>
      <c r="L262">
        <v>11</v>
      </c>
      <c r="M262">
        <v>8</v>
      </c>
      <c r="N262">
        <v>19</v>
      </c>
      <c r="O262">
        <v>116</v>
      </c>
      <c r="P262">
        <v>3.1</v>
      </c>
      <c r="Q262">
        <v>4.9000000000000004</v>
      </c>
      <c r="R262">
        <v>67</v>
      </c>
      <c r="S262">
        <v>2.7</v>
      </c>
    </row>
    <row r="263" spans="1:19" x14ac:dyDescent="0.4">
      <c r="A263" t="s">
        <v>67</v>
      </c>
      <c r="B263">
        <v>202111</v>
      </c>
      <c r="C263">
        <v>18800</v>
      </c>
      <c r="D263" t="s">
        <v>64</v>
      </c>
      <c r="E263" t="s">
        <v>63</v>
      </c>
      <c r="F263" t="s">
        <v>63</v>
      </c>
      <c r="G263" t="s">
        <v>63</v>
      </c>
      <c r="H263" t="s">
        <v>63</v>
      </c>
      <c r="I263">
        <v>2110</v>
      </c>
      <c r="J263" t="s">
        <v>68</v>
      </c>
      <c r="K263" t="s">
        <v>68</v>
      </c>
      <c r="L263">
        <v>0</v>
      </c>
      <c r="M263">
        <v>0</v>
      </c>
      <c r="N263">
        <v>0</v>
      </c>
      <c r="O263">
        <v>0</v>
      </c>
      <c r="P263">
        <v>1950</v>
      </c>
      <c r="Q263">
        <v>2240</v>
      </c>
      <c r="R263" t="s">
        <v>63</v>
      </c>
      <c r="S263" t="s">
        <v>63</v>
      </c>
    </row>
    <row r="264" spans="1:19" x14ac:dyDescent="0.4">
      <c r="A264" t="s">
        <v>67</v>
      </c>
      <c r="B264">
        <v>202111</v>
      </c>
      <c r="C264">
        <v>18900</v>
      </c>
      <c r="D264" t="s">
        <v>62</v>
      </c>
      <c r="E264">
        <v>4.0999999999999996</v>
      </c>
      <c r="F264">
        <v>4.0999999999999996</v>
      </c>
      <c r="G264">
        <v>3.3</v>
      </c>
      <c r="H264">
        <v>3.3</v>
      </c>
      <c r="I264">
        <v>3.3</v>
      </c>
      <c r="J264" t="s">
        <v>120</v>
      </c>
      <c r="K264" t="s">
        <v>473</v>
      </c>
      <c r="L264">
        <v>0</v>
      </c>
      <c r="M264">
        <v>5</v>
      </c>
      <c r="N264">
        <v>5</v>
      </c>
      <c r="O264">
        <v>41</v>
      </c>
      <c r="P264">
        <v>3</v>
      </c>
      <c r="Q264">
        <v>3.7</v>
      </c>
      <c r="R264">
        <v>84</v>
      </c>
      <c r="S264">
        <v>2.6</v>
      </c>
    </row>
    <row r="265" spans="1:19" x14ac:dyDescent="0.4">
      <c r="A265" t="s">
        <v>67</v>
      </c>
      <c r="B265">
        <v>202111</v>
      </c>
      <c r="C265">
        <v>18900</v>
      </c>
      <c r="D265" t="s">
        <v>64</v>
      </c>
      <c r="E265" t="s">
        <v>63</v>
      </c>
      <c r="F265" t="s">
        <v>63</v>
      </c>
      <c r="G265" t="s">
        <v>63</v>
      </c>
      <c r="H265" t="s">
        <v>63</v>
      </c>
      <c r="I265">
        <v>2210</v>
      </c>
      <c r="J265" t="s">
        <v>68</v>
      </c>
      <c r="K265" t="s">
        <v>68</v>
      </c>
      <c r="L265">
        <v>0</v>
      </c>
      <c r="M265">
        <v>0</v>
      </c>
      <c r="N265">
        <v>0</v>
      </c>
      <c r="O265">
        <v>0</v>
      </c>
      <c r="P265">
        <v>2050</v>
      </c>
      <c r="Q265">
        <v>2340</v>
      </c>
      <c r="R265" t="s">
        <v>63</v>
      </c>
      <c r="S265" t="s">
        <v>63</v>
      </c>
    </row>
    <row r="266" spans="1:19" x14ac:dyDescent="0.4">
      <c r="A266" t="s">
        <v>67</v>
      </c>
      <c r="B266">
        <v>202111</v>
      </c>
      <c r="C266">
        <v>19000</v>
      </c>
      <c r="D266" t="s">
        <v>62</v>
      </c>
      <c r="E266">
        <v>4</v>
      </c>
      <c r="F266">
        <v>5.3</v>
      </c>
      <c r="G266">
        <v>3.5</v>
      </c>
      <c r="H266">
        <v>4.5999999999999996</v>
      </c>
      <c r="I266">
        <v>2.7</v>
      </c>
      <c r="J266" t="s">
        <v>474</v>
      </c>
      <c r="K266" t="s">
        <v>475</v>
      </c>
      <c r="L266">
        <v>0</v>
      </c>
      <c r="M266">
        <v>44</v>
      </c>
      <c r="N266">
        <v>44</v>
      </c>
      <c r="O266">
        <v>218</v>
      </c>
      <c r="P266">
        <v>0.7</v>
      </c>
      <c r="Q266">
        <v>4.7</v>
      </c>
      <c r="R266">
        <v>71</v>
      </c>
      <c r="S266">
        <v>2.6</v>
      </c>
    </row>
    <row r="267" spans="1:19" x14ac:dyDescent="0.4">
      <c r="A267" t="s">
        <v>67</v>
      </c>
      <c r="B267">
        <v>202111</v>
      </c>
      <c r="C267">
        <v>19000</v>
      </c>
      <c r="D267" t="s">
        <v>64</v>
      </c>
      <c r="E267" t="s">
        <v>63</v>
      </c>
      <c r="F267" t="s">
        <v>63</v>
      </c>
      <c r="G267" t="s">
        <v>63</v>
      </c>
      <c r="H267" t="s">
        <v>63</v>
      </c>
      <c r="I267">
        <v>2310</v>
      </c>
      <c r="J267" t="s">
        <v>68</v>
      </c>
      <c r="K267" t="s">
        <v>68</v>
      </c>
      <c r="L267">
        <v>0</v>
      </c>
      <c r="M267">
        <v>0</v>
      </c>
      <c r="N267">
        <v>0</v>
      </c>
      <c r="O267">
        <v>0</v>
      </c>
      <c r="P267">
        <v>2150</v>
      </c>
      <c r="Q267">
        <v>2440</v>
      </c>
      <c r="R267" t="s">
        <v>63</v>
      </c>
      <c r="S267" t="s">
        <v>63</v>
      </c>
    </row>
    <row r="268" spans="1:19" x14ac:dyDescent="0.4">
      <c r="A268" t="s">
        <v>67</v>
      </c>
      <c r="B268">
        <v>202111</v>
      </c>
      <c r="C268">
        <v>19100</v>
      </c>
      <c r="D268" t="s">
        <v>62</v>
      </c>
      <c r="E268" t="s">
        <v>63</v>
      </c>
      <c r="F268" t="s">
        <v>63</v>
      </c>
      <c r="G268" t="s">
        <v>63</v>
      </c>
      <c r="H268" t="s">
        <v>63</v>
      </c>
      <c r="I268">
        <v>2.4</v>
      </c>
      <c r="J268" t="s">
        <v>68</v>
      </c>
      <c r="K268" s="28" t="s">
        <v>68</v>
      </c>
      <c r="L268">
        <v>0</v>
      </c>
      <c r="M268">
        <v>0</v>
      </c>
      <c r="N268">
        <v>0</v>
      </c>
      <c r="O268">
        <v>59</v>
      </c>
      <c r="P268">
        <v>1</v>
      </c>
      <c r="Q268">
        <v>3.5</v>
      </c>
      <c r="R268">
        <v>171</v>
      </c>
      <c r="S268">
        <v>0.7</v>
      </c>
    </row>
    <row r="269" spans="1:19" x14ac:dyDescent="0.4">
      <c r="A269" t="s">
        <v>67</v>
      </c>
      <c r="B269">
        <v>202111</v>
      </c>
      <c r="C269">
        <v>19100</v>
      </c>
      <c r="D269" t="s">
        <v>64</v>
      </c>
      <c r="E269" t="s">
        <v>63</v>
      </c>
      <c r="F269" t="s">
        <v>63</v>
      </c>
      <c r="G269" t="s">
        <v>63</v>
      </c>
      <c r="H269" t="s">
        <v>63</v>
      </c>
      <c r="I269">
        <v>2410</v>
      </c>
      <c r="J269" t="s">
        <v>68</v>
      </c>
      <c r="K269" s="28" t="s">
        <v>68</v>
      </c>
      <c r="L269">
        <v>0</v>
      </c>
      <c r="M269">
        <v>0</v>
      </c>
      <c r="N269">
        <v>0</v>
      </c>
      <c r="O269">
        <v>0</v>
      </c>
      <c r="P269">
        <v>2250</v>
      </c>
      <c r="Q269">
        <v>2540</v>
      </c>
      <c r="R269" t="s">
        <v>63</v>
      </c>
      <c r="S269" t="s">
        <v>63</v>
      </c>
    </row>
    <row r="270" spans="1:19" x14ac:dyDescent="0.4">
      <c r="A270" t="s">
        <v>67</v>
      </c>
      <c r="B270">
        <v>202111</v>
      </c>
      <c r="C270">
        <v>19200</v>
      </c>
      <c r="D270" t="s">
        <v>62</v>
      </c>
      <c r="E270" t="s">
        <v>63</v>
      </c>
      <c r="F270" t="s">
        <v>63</v>
      </c>
      <c r="G270" t="s">
        <v>63</v>
      </c>
      <c r="H270" t="s">
        <v>63</v>
      </c>
      <c r="I270">
        <v>2.1</v>
      </c>
      <c r="J270" t="s">
        <v>68</v>
      </c>
      <c r="K270" t="s">
        <v>68</v>
      </c>
      <c r="L270">
        <v>0</v>
      </c>
      <c r="M270">
        <v>0</v>
      </c>
      <c r="N270">
        <v>0</v>
      </c>
      <c r="O270">
        <v>26</v>
      </c>
      <c r="P270">
        <v>0.3</v>
      </c>
      <c r="Q270">
        <v>3.2</v>
      </c>
      <c r="R270">
        <v>49</v>
      </c>
      <c r="S270">
        <v>1.9</v>
      </c>
    </row>
    <row r="271" spans="1:19" x14ac:dyDescent="0.4">
      <c r="A271" t="s">
        <v>67</v>
      </c>
      <c r="B271">
        <v>202111</v>
      </c>
      <c r="C271">
        <v>19200</v>
      </c>
      <c r="D271" t="s">
        <v>64</v>
      </c>
      <c r="E271" t="s">
        <v>63</v>
      </c>
      <c r="F271" t="s">
        <v>63</v>
      </c>
      <c r="G271" t="s">
        <v>63</v>
      </c>
      <c r="H271" t="s">
        <v>63</v>
      </c>
      <c r="I271">
        <v>2510</v>
      </c>
      <c r="J271" t="s">
        <v>68</v>
      </c>
      <c r="K271" t="s">
        <v>68</v>
      </c>
      <c r="L271">
        <v>0</v>
      </c>
      <c r="M271">
        <v>0</v>
      </c>
      <c r="N271">
        <v>0</v>
      </c>
      <c r="O271">
        <v>0</v>
      </c>
      <c r="P271">
        <v>2350</v>
      </c>
      <c r="Q271">
        <v>2640</v>
      </c>
      <c r="R271" t="s">
        <v>63</v>
      </c>
      <c r="S271" t="s">
        <v>63</v>
      </c>
    </row>
    <row r="272" spans="1:19" x14ac:dyDescent="0.4">
      <c r="A272" t="s">
        <v>67</v>
      </c>
      <c r="B272">
        <v>202111</v>
      </c>
      <c r="C272">
        <v>19300</v>
      </c>
      <c r="D272" t="s">
        <v>62</v>
      </c>
      <c r="E272">
        <v>2.2000000000000002</v>
      </c>
      <c r="F272">
        <v>2.2000000000000002</v>
      </c>
      <c r="G272">
        <v>1.8</v>
      </c>
      <c r="H272">
        <v>1.8</v>
      </c>
      <c r="I272">
        <v>1.8</v>
      </c>
      <c r="J272" t="s">
        <v>74</v>
      </c>
      <c r="K272" t="s">
        <v>109</v>
      </c>
      <c r="L272">
        <v>30</v>
      </c>
      <c r="M272">
        <v>70</v>
      </c>
      <c r="N272">
        <v>100</v>
      </c>
      <c r="O272">
        <v>505</v>
      </c>
      <c r="P272" t="s">
        <v>63</v>
      </c>
      <c r="Q272">
        <v>2.2000000000000002</v>
      </c>
      <c r="R272">
        <v>45</v>
      </c>
      <c r="S272">
        <v>1.8</v>
      </c>
    </row>
    <row r="273" spans="1:19" x14ac:dyDescent="0.4">
      <c r="A273" t="s">
        <v>67</v>
      </c>
      <c r="B273">
        <v>202111</v>
      </c>
      <c r="C273">
        <v>19300</v>
      </c>
      <c r="D273" t="s">
        <v>64</v>
      </c>
      <c r="E273" t="s">
        <v>63</v>
      </c>
      <c r="F273" t="s">
        <v>63</v>
      </c>
      <c r="G273" t="s">
        <v>63</v>
      </c>
      <c r="H273" t="s">
        <v>63</v>
      </c>
      <c r="I273">
        <v>2610</v>
      </c>
      <c r="J273" t="s">
        <v>68</v>
      </c>
      <c r="K273" t="s">
        <v>68</v>
      </c>
      <c r="L273">
        <v>0</v>
      </c>
      <c r="M273">
        <v>0</v>
      </c>
      <c r="N273">
        <v>0</v>
      </c>
      <c r="O273">
        <v>0</v>
      </c>
      <c r="P273">
        <v>2450</v>
      </c>
      <c r="Q273">
        <v>2740</v>
      </c>
      <c r="R273" t="s">
        <v>63</v>
      </c>
      <c r="S273" t="s">
        <v>63</v>
      </c>
    </row>
    <row r="274" spans="1:19" x14ac:dyDescent="0.4">
      <c r="A274" t="s">
        <v>67</v>
      </c>
      <c r="B274">
        <v>202111</v>
      </c>
      <c r="C274">
        <v>19400</v>
      </c>
      <c r="D274" t="s">
        <v>62</v>
      </c>
      <c r="E274">
        <v>1.8</v>
      </c>
      <c r="F274">
        <v>1.8</v>
      </c>
      <c r="G274">
        <v>1.8</v>
      </c>
      <c r="H274">
        <v>1.8</v>
      </c>
      <c r="I274">
        <v>1.8</v>
      </c>
      <c r="J274" t="s">
        <v>73</v>
      </c>
      <c r="K274" s="28">
        <v>0</v>
      </c>
      <c r="L274">
        <v>0</v>
      </c>
      <c r="M274">
        <v>2</v>
      </c>
      <c r="N274">
        <v>2</v>
      </c>
      <c r="O274">
        <v>104</v>
      </c>
      <c r="P274" t="s">
        <v>63</v>
      </c>
      <c r="Q274">
        <v>2</v>
      </c>
      <c r="R274">
        <v>42</v>
      </c>
      <c r="S274">
        <v>1.8</v>
      </c>
    </row>
    <row r="275" spans="1:19" x14ac:dyDescent="0.4">
      <c r="A275" t="s">
        <v>67</v>
      </c>
      <c r="B275">
        <v>202111</v>
      </c>
      <c r="C275">
        <v>19400</v>
      </c>
      <c r="D275" t="s">
        <v>64</v>
      </c>
      <c r="E275" t="s">
        <v>63</v>
      </c>
      <c r="F275" t="s">
        <v>63</v>
      </c>
      <c r="G275" t="s">
        <v>63</v>
      </c>
      <c r="H275" t="s">
        <v>63</v>
      </c>
      <c r="I275">
        <v>2710</v>
      </c>
      <c r="J275" t="s">
        <v>68</v>
      </c>
      <c r="K275" t="s">
        <v>68</v>
      </c>
      <c r="L275">
        <v>0</v>
      </c>
      <c r="M275">
        <v>0</v>
      </c>
      <c r="N275">
        <v>0</v>
      </c>
      <c r="O275">
        <v>0</v>
      </c>
      <c r="P275">
        <v>2550</v>
      </c>
      <c r="Q275">
        <v>2840</v>
      </c>
      <c r="R275" t="s">
        <v>63</v>
      </c>
      <c r="S275" t="s">
        <v>63</v>
      </c>
    </row>
    <row r="276" spans="1:19" x14ac:dyDescent="0.4">
      <c r="A276" t="s">
        <v>67</v>
      </c>
      <c r="B276">
        <v>202111</v>
      </c>
      <c r="C276">
        <v>19500</v>
      </c>
      <c r="D276" t="s">
        <v>62</v>
      </c>
      <c r="E276">
        <v>1.4</v>
      </c>
      <c r="F276">
        <v>1.4</v>
      </c>
      <c r="G276">
        <v>1.4</v>
      </c>
      <c r="H276">
        <v>1.4</v>
      </c>
      <c r="I276">
        <v>1.4</v>
      </c>
      <c r="J276" t="s">
        <v>74</v>
      </c>
      <c r="K276" t="s">
        <v>476</v>
      </c>
      <c r="L276">
        <v>0</v>
      </c>
      <c r="M276">
        <v>1</v>
      </c>
      <c r="N276">
        <v>1</v>
      </c>
      <c r="O276">
        <v>370</v>
      </c>
      <c r="P276">
        <v>1.2</v>
      </c>
      <c r="Q276">
        <v>1.8</v>
      </c>
      <c r="R276">
        <v>26</v>
      </c>
      <c r="S276">
        <v>1.1000000000000001</v>
      </c>
    </row>
    <row r="277" spans="1:19" x14ac:dyDescent="0.4">
      <c r="A277" t="s">
        <v>67</v>
      </c>
      <c r="B277">
        <v>202111</v>
      </c>
      <c r="C277">
        <v>19500</v>
      </c>
      <c r="D277" t="s">
        <v>64</v>
      </c>
      <c r="E277" t="s">
        <v>63</v>
      </c>
      <c r="F277" t="s">
        <v>63</v>
      </c>
      <c r="G277" t="s">
        <v>63</v>
      </c>
      <c r="H277" t="s">
        <v>63</v>
      </c>
      <c r="I277">
        <v>2810</v>
      </c>
      <c r="J277" t="s">
        <v>68</v>
      </c>
      <c r="K277" t="s">
        <v>68</v>
      </c>
      <c r="L277">
        <v>0</v>
      </c>
      <c r="M277">
        <v>0</v>
      </c>
      <c r="N277">
        <v>0</v>
      </c>
      <c r="O277">
        <v>0</v>
      </c>
      <c r="P277">
        <v>2650</v>
      </c>
      <c r="Q277">
        <v>2940</v>
      </c>
      <c r="R277" t="s">
        <v>63</v>
      </c>
      <c r="S277" t="s">
        <v>63</v>
      </c>
    </row>
    <row r="278" spans="1:19" x14ac:dyDescent="0.4">
      <c r="A278" t="s">
        <v>67</v>
      </c>
      <c r="B278">
        <v>202111</v>
      </c>
      <c r="C278">
        <v>19600</v>
      </c>
      <c r="D278" t="s">
        <v>62</v>
      </c>
      <c r="E278" t="s">
        <v>63</v>
      </c>
      <c r="F278" t="s">
        <v>63</v>
      </c>
      <c r="G278" t="s">
        <v>63</v>
      </c>
      <c r="H278" t="s">
        <v>63</v>
      </c>
      <c r="I278">
        <v>1.4</v>
      </c>
      <c r="J278" t="s">
        <v>68</v>
      </c>
      <c r="K278" t="s">
        <v>68</v>
      </c>
      <c r="L278">
        <v>0</v>
      </c>
      <c r="M278">
        <v>0</v>
      </c>
      <c r="N278">
        <v>0</v>
      </c>
      <c r="O278">
        <v>44</v>
      </c>
      <c r="P278" t="s">
        <v>63</v>
      </c>
      <c r="Q278">
        <v>1.7</v>
      </c>
      <c r="R278">
        <v>32</v>
      </c>
      <c r="S278">
        <v>0.1</v>
      </c>
    </row>
    <row r="279" spans="1:19" x14ac:dyDescent="0.4">
      <c r="A279" t="s">
        <v>67</v>
      </c>
      <c r="B279">
        <v>202111</v>
      </c>
      <c r="C279">
        <v>19600</v>
      </c>
      <c r="D279" t="s">
        <v>64</v>
      </c>
      <c r="E279" t="s">
        <v>63</v>
      </c>
      <c r="F279" t="s">
        <v>63</v>
      </c>
      <c r="G279" t="s">
        <v>63</v>
      </c>
      <c r="H279" t="s">
        <v>63</v>
      </c>
      <c r="I279">
        <v>2910</v>
      </c>
      <c r="J279" t="s">
        <v>68</v>
      </c>
      <c r="K279" t="s">
        <v>68</v>
      </c>
      <c r="L279">
        <v>0</v>
      </c>
      <c r="M279">
        <v>0</v>
      </c>
      <c r="N279">
        <v>0</v>
      </c>
      <c r="O279">
        <v>0</v>
      </c>
      <c r="P279">
        <v>2750</v>
      </c>
      <c r="Q279">
        <v>3040</v>
      </c>
      <c r="R279" t="s">
        <v>63</v>
      </c>
      <c r="S279" t="s">
        <v>63</v>
      </c>
    </row>
    <row r="280" spans="1:19" x14ac:dyDescent="0.4">
      <c r="A280" t="s">
        <v>67</v>
      </c>
      <c r="B280">
        <v>202111</v>
      </c>
      <c r="C280">
        <v>19700</v>
      </c>
      <c r="D280" t="s">
        <v>62</v>
      </c>
      <c r="E280">
        <v>1.5</v>
      </c>
      <c r="F280">
        <v>1.5</v>
      </c>
      <c r="G280">
        <v>1.5</v>
      </c>
      <c r="H280">
        <v>1.5</v>
      </c>
      <c r="I280">
        <v>1.3</v>
      </c>
      <c r="J280" t="s">
        <v>145</v>
      </c>
      <c r="K280" t="s">
        <v>280</v>
      </c>
      <c r="L280">
        <v>0</v>
      </c>
      <c r="M280">
        <v>1</v>
      </c>
      <c r="N280">
        <v>1</v>
      </c>
      <c r="O280">
        <v>408</v>
      </c>
      <c r="P280" t="s">
        <v>63</v>
      </c>
      <c r="Q280">
        <v>1.5</v>
      </c>
      <c r="R280">
        <v>101</v>
      </c>
      <c r="S280">
        <v>0.1</v>
      </c>
    </row>
    <row r="281" spans="1:19" x14ac:dyDescent="0.4">
      <c r="A281" t="s">
        <v>67</v>
      </c>
      <c r="B281">
        <v>202111</v>
      </c>
      <c r="C281">
        <v>19700</v>
      </c>
      <c r="D281" t="s">
        <v>64</v>
      </c>
      <c r="E281" t="s">
        <v>63</v>
      </c>
      <c r="F281" t="s">
        <v>63</v>
      </c>
      <c r="G281" t="s">
        <v>63</v>
      </c>
      <c r="H281" t="s">
        <v>63</v>
      </c>
      <c r="I281">
        <v>3010</v>
      </c>
      <c r="J281" t="s">
        <v>68</v>
      </c>
      <c r="K281" t="s">
        <v>68</v>
      </c>
      <c r="L281">
        <v>0</v>
      </c>
      <c r="M281">
        <v>0</v>
      </c>
      <c r="N281">
        <v>0</v>
      </c>
      <c r="O281">
        <v>0</v>
      </c>
      <c r="P281">
        <v>2850</v>
      </c>
      <c r="Q281">
        <v>3140</v>
      </c>
      <c r="R281" t="s">
        <v>63</v>
      </c>
      <c r="S281" t="s">
        <v>63</v>
      </c>
    </row>
    <row r="282" spans="1:19" x14ac:dyDescent="0.4">
      <c r="A282" t="s">
        <v>67</v>
      </c>
      <c r="B282">
        <v>202111</v>
      </c>
      <c r="C282">
        <v>19800</v>
      </c>
      <c r="D282" t="s">
        <v>62</v>
      </c>
      <c r="E282">
        <v>1.3</v>
      </c>
      <c r="F282">
        <v>1.3</v>
      </c>
      <c r="G282">
        <v>1.3</v>
      </c>
      <c r="H282">
        <v>1.3</v>
      </c>
      <c r="I282">
        <v>1.3</v>
      </c>
      <c r="J282" t="s">
        <v>145</v>
      </c>
      <c r="K282" s="28" t="s">
        <v>477</v>
      </c>
      <c r="L282">
        <v>0</v>
      </c>
      <c r="M282">
        <v>3</v>
      </c>
      <c r="N282">
        <v>3</v>
      </c>
      <c r="O282">
        <v>410</v>
      </c>
      <c r="P282" t="s">
        <v>63</v>
      </c>
      <c r="Q282">
        <v>1.4</v>
      </c>
      <c r="R282">
        <v>21</v>
      </c>
      <c r="S282">
        <v>0.1</v>
      </c>
    </row>
    <row r="283" spans="1:19" x14ac:dyDescent="0.4">
      <c r="A283" t="s">
        <v>67</v>
      </c>
      <c r="B283">
        <v>202111</v>
      </c>
      <c r="C283">
        <v>19800</v>
      </c>
      <c r="D283" t="s">
        <v>64</v>
      </c>
      <c r="E283" t="s">
        <v>63</v>
      </c>
      <c r="F283" t="s">
        <v>63</v>
      </c>
      <c r="G283" t="s">
        <v>63</v>
      </c>
      <c r="H283" t="s">
        <v>63</v>
      </c>
      <c r="I283">
        <v>3110</v>
      </c>
      <c r="J283" t="s">
        <v>68</v>
      </c>
      <c r="K283" t="s">
        <v>68</v>
      </c>
      <c r="L283">
        <v>0</v>
      </c>
      <c r="M283">
        <v>0</v>
      </c>
      <c r="N283">
        <v>0</v>
      </c>
      <c r="O283">
        <v>0</v>
      </c>
      <c r="P283">
        <v>2950</v>
      </c>
      <c r="Q283">
        <v>3240</v>
      </c>
      <c r="R283" t="s">
        <v>63</v>
      </c>
      <c r="S283" t="s">
        <v>63</v>
      </c>
    </row>
    <row r="284" spans="1:19" x14ac:dyDescent="0.4">
      <c r="A284" t="s">
        <v>67</v>
      </c>
      <c r="B284">
        <v>202111</v>
      </c>
      <c r="C284">
        <v>19900</v>
      </c>
      <c r="D284" t="s">
        <v>62</v>
      </c>
      <c r="E284">
        <v>1.2</v>
      </c>
      <c r="F284">
        <v>1.2</v>
      </c>
      <c r="G284">
        <v>1.2</v>
      </c>
      <c r="H284">
        <v>1.2</v>
      </c>
      <c r="I284">
        <v>1.2</v>
      </c>
      <c r="J284" t="s">
        <v>145</v>
      </c>
      <c r="K284" s="28" t="s">
        <v>127</v>
      </c>
      <c r="L284">
        <v>0</v>
      </c>
      <c r="M284">
        <v>6</v>
      </c>
      <c r="N284">
        <v>6</v>
      </c>
      <c r="O284">
        <v>407</v>
      </c>
      <c r="P284" t="s">
        <v>63</v>
      </c>
      <c r="Q284">
        <v>1.3</v>
      </c>
      <c r="R284">
        <v>18.5</v>
      </c>
      <c r="S284">
        <v>1</v>
      </c>
    </row>
    <row r="285" spans="1:19" x14ac:dyDescent="0.4">
      <c r="A285" t="s">
        <v>67</v>
      </c>
      <c r="B285">
        <v>202111</v>
      </c>
      <c r="C285">
        <v>19900</v>
      </c>
      <c r="D285" t="s">
        <v>64</v>
      </c>
      <c r="E285" t="s">
        <v>63</v>
      </c>
      <c r="F285" t="s">
        <v>63</v>
      </c>
      <c r="G285" t="s">
        <v>63</v>
      </c>
      <c r="H285" t="s">
        <v>63</v>
      </c>
      <c r="I285">
        <v>3210</v>
      </c>
      <c r="J285" t="s">
        <v>68</v>
      </c>
      <c r="K285" t="s">
        <v>68</v>
      </c>
      <c r="L285">
        <v>0</v>
      </c>
      <c r="M285">
        <v>0</v>
      </c>
      <c r="N285">
        <v>0</v>
      </c>
      <c r="O285">
        <v>0</v>
      </c>
      <c r="P285">
        <v>3050</v>
      </c>
      <c r="Q285">
        <v>3340</v>
      </c>
      <c r="R285" t="s">
        <v>63</v>
      </c>
      <c r="S285" t="s">
        <v>63</v>
      </c>
    </row>
    <row r="286" spans="1:19" x14ac:dyDescent="0.4">
      <c r="A286" t="s">
        <v>67</v>
      </c>
      <c r="B286">
        <v>202111</v>
      </c>
      <c r="C286">
        <v>20000</v>
      </c>
      <c r="D286" t="s">
        <v>62</v>
      </c>
      <c r="E286" t="s">
        <v>63</v>
      </c>
      <c r="F286" t="s">
        <v>63</v>
      </c>
      <c r="G286" t="s">
        <v>63</v>
      </c>
      <c r="H286" t="s">
        <v>63</v>
      </c>
      <c r="I286">
        <v>0.8</v>
      </c>
      <c r="J286" t="s">
        <v>68</v>
      </c>
      <c r="K286" t="s">
        <v>68</v>
      </c>
      <c r="L286">
        <v>0</v>
      </c>
      <c r="M286">
        <v>0</v>
      </c>
      <c r="N286">
        <v>0</v>
      </c>
      <c r="O286">
        <v>1173</v>
      </c>
      <c r="P286">
        <v>0.1</v>
      </c>
      <c r="Q286">
        <v>1.2</v>
      </c>
      <c r="R286">
        <v>22</v>
      </c>
      <c r="S286">
        <v>0.6</v>
      </c>
    </row>
    <row r="287" spans="1:19" x14ac:dyDescent="0.4">
      <c r="A287" t="s">
        <v>67</v>
      </c>
      <c r="B287">
        <v>202111</v>
      </c>
      <c r="C287">
        <v>20000</v>
      </c>
      <c r="D287" t="s">
        <v>64</v>
      </c>
      <c r="E287" t="s">
        <v>63</v>
      </c>
      <c r="F287" t="s">
        <v>63</v>
      </c>
      <c r="G287" t="s">
        <v>63</v>
      </c>
      <c r="H287" t="s">
        <v>63</v>
      </c>
      <c r="I287">
        <v>3310</v>
      </c>
      <c r="J287" t="s">
        <v>68</v>
      </c>
      <c r="K287" t="s">
        <v>68</v>
      </c>
      <c r="L287">
        <v>0</v>
      </c>
      <c r="M287">
        <v>0</v>
      </c>
      <c r="N287">
        <v>0</v>
      </c>
      <c r="O287">
        <v>0</v>
      </c>
      <c r="P287">
        <v>3150</v>
      </c>
      <c r="Q287">
        <v>3440</v>
      </c>
      <c r="R287" t="s">
        <v>63</v>
      </c>
      <c r="S287" t="s">
        <v>63</v>
      </c>
    </row>
    <row r="288" spans="1:19" x14ac:dyDescent="0.4">
      <c r="A288" t="s">
        <v>67</v>
      </c>
      <c r="B288">
        <v>202111</v>
      </c>
      <c r="C288">
        <v>20100</v>
      </c>
      <c r="D288" t="s">
        <v>62</v>
      </c>
      <c r="E288" t="s">
        <v>63</v>
      </c>
      <c r="F288" t="s">
        <v>63</v>
      </c>
      <c r="G288" t="s">
        <v>63</v>
      </c>
      <c r="H288" t="s">
        <v>63</v>
      </c>
      <c r="I288">
        <v>0.7</v>
      </c>
      <c r="J288" t="s">
        <v>68</v>
      </c>
      <c r="K288" t="s">
        <v>68</v>
      </c>
      <c r="L288">
        <v>0</v>
      </c>
      <c r="M288">
        <v>0</v>
      </c>
      <c r="N288">
        <v>0</v>
      </c>
      <c r="O288">
        <v>1132</v>
      </c>
      <c r="P288">
        <v>0.7</v>
      </c>
      <c r="Q288">
        <v>1.1000000000000001</v>
      </c>
      <c r="R288">
        <v>23.5</v>
      </c>
      <c r="S288">
        <v>0.1</v>
      </c>
    </row>
    <row r="289" spans="1:19" x14ac:dyDescent="0.4">
      <c r="A289" t="s">
        <v>67</v>
      </c>
      <c r="B289">
        <v>202111</v>
      </c>
      <c r="C289">
        <v>20100</v>
      </c>
      <c r="D289" t="s">
        <v>64</v>
      </c>
      <c r="E289" t="s">
        <v>63</v>
      </c>
      <c r="F289" t="s">
        <v>63</v>
      </c>
      <c r="G289" t="s">
        <v>63</v>
      </c>
      <c r="H289" t="s">
        <v>63</v>
      </c>
      <c r="I289">
        <v>3410</v>
      </c>
      <c r="J289" t="s">
        <v>68</v>
      </c>
      <c r="K289" t="s">
        <v>68</v>
      </c>
      <c r="L289">
        <v>0</v>
      </c>
      <c r="M289">
        <v>0</v>
      </c>
      <c r="N289">
        <v>0</v>
      </c>
      <c r="O289">
        <v>0</v>
      </c>
      <c r="P289">
        <v>3240</v>
      </c>
      <c r="Q289">
        <v>3540</v>
      </c>
      <c r="R289" t="s">
        <v>63</v>
      </c>
      <c r="S289" t="s">
        <v>63</v>
      </c>
    </row>
    <row r="290" spans="1:19" x14ac:dyDescent="0.4">
      <c r="A290" t="s">
        <v>67</v>
      </c>
      <c r="B290">
        <v>202111</v>
      </c>
      <c r="C290">
        <v>20200</v>
      </c>
      <c r="D290" t="s">
        <v>62</v>
      </c>
      <c r="E290">
        <v>1</v>
      </c>
      <c r="F290">
        <v>1</v>
      </c>
      <c r="G290">
        <v>0.6</v>
      </c>
      <c r="H290">
        <v>0.6</v>
      </c>
      <c r="I290">
        <v>0.6</v>
      </c>
      <c r="J290" t="s">
        <v>73</v>
      </c>
      <c r="K290" s="28">
        <v>0</v>
      </c>
      <c r="L290">
        <v>0</v>
      </c>
      <c r="M290">
        <v>36</v>
      </c>
      <c r="N290">
        <v>36</v>
      </c>
      <c r="O290">
        <v>2574</v>
      </c>
      <c r="P290">
        <v>0.6</v>
      </c>
      <c r="Q290">
        <v>1</v>
      </c>
      <c r="R290">
        <v>16</v>
      </c>
      <c r="S290">
        <v>0.1</v>
      </c>
    </row>
    <row r="291" spans="1:19" x14ac:dyDescent="0.4">
      <c r="A291" t="s">
        <v>67</v>
      </c>
      <c r="B291">
        <v>202111</v>
      </c>
      <c r="C291">
        <v>20200</v>
      </c>
      <c r="D291" t="s">
        <v>64</v>
      </c>
      <c r="E291" t="s">
        <v>63</v>
      </c>
      <c r="F291" t="s">
        <v>63</v>
      </c>
      <c r="G291" t="s">
        <v>63</v>
      </c>
      <c r="H291" t="s">
        <v>63</v>
      </c>
      <c r="I291">
        <v>3510</v>
      </c>
      <c r="J291" t="s">
        <v>68</v>
      </c>
      <c r="K291" t="s">
        <v>68</v>
      </c>
      <c r="L291">
        <v>0</v>
      </c>
      <c r="M291">
        <v>0</v>
      </c>
      <c r="N291">
        <v>0</v>
      </c>
      <c r="O291">
        <v>1</v>
      </c>
      <c r="P291">
        <v>3350</v>
      </c>
      <c r="Q291">
        <v>3640</v>
      </c>
      <c r="R291">
        <v>3120</v>
      </c>
      <c r="S291">
        <v>3120</v>
      </c>
    </row>
    <row r="292" spans="1:19" x14ac:dyDescent="0.4">
      <c r="A292" t="s">
        <v>67</v>
      </c>
      <c r="B292">
        <v>202112</v>
      </c>
      <c r="C292">
        <v>12200</v>
      </c>
      <c r="D292" t="s">
        <v>62</v>
      </c>
      <c r="E292" t="s">
        <v>63</v>
      </c>
      <c r="F292" t="s">
        <v>63</v>
      </c>
      <c r="G292" t="s">
        <v>63</v>
      </c>
      <c r="H292" t="s">
        <v>63</v>
      </c>
      <c r="I292">
        <v>4480</v>
      </c>
      <c r="J292" t="s">
        <v>68</v>
      </c>
      <c r="K292" t="s">
        <v>68</v>
      </c>
      <c r="L292">
        <v>0</v>
      </c>
      <c r="M292">
        <v>0</v>
      </c>
      <c r="N292">
        <v>0</v>
      </c>
      <c r="O292">
        <v>16</v>
      </c>
      <c r="P292">
        <v>4350</v>
      </c>
      <c r="Q292">
        <v>4650</v>
      </c>
      <c r="R292">
        <v>5480</v>
      </c>
      <c r="S292">
        <v>4230</v>
      </c>
    </row>
    <row r="293" spans="1:19" x14ac:dyDescent="0.4">
      <c r="A293" t="s">
        <v>67</v>
      </c>
      <c r="B293">
        <v>202112</v>
      </c>
      <c r="C293">
        <v>12200</v>
      </c>
      <c r="D293" t="s">
        <v>64</v>
      </c>
      <c r="E293">
        <v>20</v>
      </c>
      <c r="F293">
        <v>23.5</v>
      </c>
      <c r="G293">
        <v>20</v>
      </c>
      <c r="H293">
        <v>21</v>
      </c>
      <c r="I293">
        <v>22.5</v>
      </c>
      <c r="J293" t="s">
        <v>110</v>
      </c>
      <c r="K293" t="s">
        <v>478</v>
      </c>
      <c r="L293">
        <v>15</v>
      </c>
      <c r="M293">
        <v>48</v>
      </c>
      <c r="N293">
        <v>63</v>
      </c>
      <c r="O293">
        <v>1095</v>
      </c>
      <c r="P293">
        <v>21.5</v>
      </c>
      <c r="Q293">
        <v>23</v>
      </c>
      <c r="R293">
        <v>415</v>
      </c>
      <c r="S293">
        <v>19</v>
      </c>
    </row>
    <row r="294" spans="1:19" x14ac:dyDescent="0.4">
      <c r="A294" t="s">
        <v>67</v>
      </c>
      <c r="B294">
        <v>202112</v>
      </c>
      <c r="C294">
        <v>12400</v>
      </c>
      <c r="D294" t="s">
        <v>62</v>
      </c>
      <c r="E294" t="s">
        <v>63</v>
      </c>
      <c r="F294" t="s">
        <v>63</v>
      </c>
      <c r="G294" t="s">
        <v>63</v>
      </c>
      <c r="H294" t="s">
        <v>63</v>
      </c>
      <c r="I294">
        <v>4280</v>
      </c>
      <c r="J294" t="s">
        <v>68</v>
      </c>
      <c r="K294" t="s">
        <v>68</v>
      </c>
      <c r="L294">
        <v>0</v>
      </c>
      <c r="M294">
        <v>0</v>
      </c>
      <c r="N294">
        <v>0</v>
      </c>
      <c r="O294">
        <v>1</v>
      </c>
      <c r="P294">
        <v>4160</v>
      </c>
      <c r="Q294">
        <v>4430</v>
      </c>
      <c r="R294">
        <v>4270</v>
      </c>
      <c r="S294">
        <v>4270</v>
      </c>
    </row>
    <row r="295" spans="1:19" x14ac:dyDescent="0.4">
      <c r="A295" t="s">
        <v>67</v>
      </c>
      <c r="B295">
        <v>202112</v>
      </c>
      <c r="C295">
        <v>12400</v>
      </c>
      <c r="D295" t="s">
        <v>64</v>
      </c>
      <c r="E295" t="s">
        <v>63</v>
      </c>
      <c r="F295" t="s">
        <v>63</v>
      </c>
      <c r="G295" t="s">
        <v>63</v>
      </c>
      <c r="H295" t="s">
        <v>63</v>
      </c>
      <c r="I295">
        <v>25</v>
      </c>
      <c r="J295" t="s">
        <v>68</v>
      </c>
      <c r="K295" t="s">
        <v>68</v>
      </c>
      <c r="L295">
        <v>0</v>
      </c>
      <c r="M295">
        <v>0</v>
      </c>
      <c r="N295">
        <v>0</v>
      </c>
      <c r="O295">
        <v>188</v>
      </c>
      <c r="P295">
        <v>22.5</v>
      </c>
      <c r="Q295">
        <v>28</v>
      </c>
      <c r="R295">
        <v>486</v>
      </c>
      <c r="S295">
        <v>24</v>
      </c>
    </row>
    <row r="296" spans="1:19" x14ac:dyDescent="0.4">
      <c r="A296" t="s">
        <v>67</v>
      </c>
      <c r="B296">
        <v>202112</v>
      </c>
      <c r="C296">
        <v>12600</v>
      </c>
      <c r="D296" t="s">
        <v>62</v>
      </c>
      <c r="E296" t="s">
        <v>63</v>
      </c>
      <c r="F296" t="s">
        <v>63</v>
      </c>
      <c r="G296" t="s">
        <v>63</v>
      </c>
      <c r="H296" t="s">
        <v>63</v>
      </c>
      <c r="I296">
        <v>4090</v>
      </c>
      <c r="J296" t="s">
        <v>68</v>
      </c>
      <c r="K296" t="s">
        <v>68</v>
      </c>
      <c r="L296">
        <v>0</v>
      </c>
      <c r="M296">
        <v>0</v>
      </c>
      <c r="N296">
        <v>0</v>
      </c>
      <c r="O296">
        <v>0</v>
      </c>
      <c r="P296">
        <v>3950</v>
      </c>
      <c r="Q296">
        <v>4250</v>
      </c>
      <c r="R296" t="s">
        <v>63</v>
      </c>
      <c r="S296" t="s">
        <v>63</v>
      </c>
    </row>
    <row r="297" spans="1:19" x14ac:dyDescent="0.4">
      <c r="A297" t="s">
        <v>67</v>
      </c>
      <c r="B297">
        <v>202112</v>
      </c>
      <c r="C297">
        <v>12600</v>
      </c>
      <c r="D297" t="s">
        <v>64</v>
      </c>
      <c r="E297" t="s">
        <v>63</v>
      </c>
      <c r="F297" t="s">
        <v>63</v>
      </c>
      <c r="G297" t="s">
        <v>63</v>
      </c>
      <c r="H297" t="s">
        <v>63</v>
      </c>
      <c r="I297">
        <v>28.5</v>
      </c>
      <c r="J297" t="s">
        <v>68</v>
      </c>
      <c r="K297" t="s">
        <v>68</v>
      </c>
      <c r="L297">
        <v>0</v>
      </c>
      <c r="M297">
        <v>0</v>
      </c>
      <c r="N297">
        <v>0</v>
      </c>
      <c r="O297">
        <v>64</v>
      </c>
      <c r="P297">
        <v>14</v>
      </c>
      <c r="Q297">
        <v>29.5</v>
      </c>
      <c r="R297">
        <v>470</v>
      </c>
      <c r="S297">
        <v>10</v>
      </c>
    </row>
    <row r="298" spans="1:19" x14ac:dyDescent="0.4">
      <c r="A298" t="s">
        <v>67</v>
      </c>
      <c r="B298">
        <v>202112</v>
      </c>
      <c r="C298">
        <v>12800</v>
      </c>
      <c r="D298" t="s">
        <v>62</v>
      </c>
      <c r="E298" t="s">
        <v>63</v>
      </c>
      <c r="F298" t="s">
        <v>63</v>
      </c>
      <c r="G298" t="s">
        <v>63</v>
      </c>
      <c r="H298" t="s">
        <v>63</v>
      </c>
      <c r="I298">
        <v>3890</v>
      </c>
      <c r="J298" t="s">
        <v>68</v>
      </c>
      <c r="K298" t="s">
        <v>68</v>
      </c>
      <c r="L298">
        <v>0</v>
      </c>
      <c r="M298">
        <v>0</v>
      </c>
      <c r="N298">
        <v>0</v>
      </c>
      <c r="O298">
        <v>4</v>
      </c>
      <c r="P298">
        <v>3760</v>
      </c>
      <c r="Q298">
        <v>4060</v>
      </c>
      <c r="R298">
        <v>3880</v>
      </c>
      <c r="S298">
        <v>3620</v>
      </c>
    </row>
    <row r="299" spans="1:19" x14ac:dyDescent="0.4">
      <c r="A299" t="s">
        <v>67</v>
      </c>
      <c r="B299">
        <v>202112</v>
      </c>
      <c r="C299">
        <v>12800</v>
      </c>
      <c r="D299" t="s">
        <v>64</v>
      </c>
      <c r="E299">
        <v>32</v>
      </c>
      <c r="F299">
        <v>32.5</v>
      </c>
      <c r="G299">
        <v>32</v>
      </c>
      <c r="H299">
        <v>32.5</v>
      </c>
      <c r="I299">
        <v>31.5</v>
      </c>
      <c r="J299" t="s">
        <v>78</v>
      </c>
      <c r="K299" t="s">
        <v>479</v>
      </c>
      <c r="L299">
        <v>0</v>
      </c>
      <c r="M299">
        <v>20</v>
      </c>
      <c r="N299">
        <v>20</v>
      </c>
      <c r="O299">
        <v>268</v>
      </c>
      <c r="P299">
        <v>15</v>
      </c>
      <c r="Q299">
        <v>32</v>
      </c>
      <c r="R299">
        <v>600</v>
      </c>
      <c r="S299">
        <v>26.5</v>
      </c>
    </row>
    <row r="300" spans="1:19" x14ac:dyDescent="0.4">
      <c r="A300" t="s">
        <v>67</v>
      </c>
      <c r="B300">
        <v>202112</v>
      </c>
      <c r="C300">
        <v>13000</v>
      </c>
      <c r="D300" t="s">
        <v>62</v>
      </c>
      <c r="E300" t="s">
        <v>63</v>
      </c>
      <c r="F300" t="s">
        <v>63</v>
      </c>
      <c r="G300" t="s">
        <v>63</v>
      </c>
      <c r="H300" t="s">
        <v>63</v>
      </c>
      <c r="I300">
        <v>3690</v>
      </c>
      <c r="J300" t="s">
        <v>68</v>
      </c>
      <c r="K300" t="s">
        <v>68</v>
      </c>
      <c r="L300">
        <v>0</v>
      </c>
      <c r="M300">
        <v>0</v>
      </c>
      <c r="N300">
        <v>0</v>
      </c>
      <c r="O300">
        <v>1</v>
      </c>
      <c r="P300">
        <v>3550</v>
      </c>
      <c r="Q300">
        <v>3840</v>
      </c>
      <c r="R300">
        <v>4210</v>
      </c>
      <c r="S300">
        <v>4210</v>
      </c>
    </row>
    <row r="301" spans="1:19" x14ac:dyDescent="0.4">
      <c r="A301" t="s">
        <v>67</v>
      </c>
      <c r="B301">
        <v>202112</v>
      </c>
      <c r="C301">
        <v>13000</v>
      </c>
      <c r="D301" t="s">
        <v>64</v>
      </c>
      <c r="E301">
        <v>34</v>
      </c>
      <c r="F301">
        <v>36.5</v>
      </c>
      <c r="G301">
        <v>33</v>
      </c>
      <c r="H301">
        <v>35.5</v>
      </c>
      <c r="I301">
        <v>35.5</v>
      </c>
      <c r="J301" t="s">
        <v>72</v>
      </c>
      <c r="K301" t="s">
        <v>480</v>
      </c>
      <c r="L301">
        <v>0</v>
      </c>
      <c r="M301">
        <v>26</v>
      </c>
      <c r="N301">
        <v>26</v>
      </c>
      <c r="O301">
        <v>406</v>
      </c>
      <c r="P301">
        <v>33.5</v>
      </c>
      <c r="Q301">
        <v>40</v>
      </c>
      <c r="R301">
        <v>700</v>
      </c>
      <c r="S301">
        <v>33</v>
      </c>
    </row>
    <row r="302" spans="1:19" x14ac:dyDescent="0.4">
      <c r="A302" t="s">
        <v>67</v>
      </c>
      <c r="B302">
        <v>202112</v>
      </c>
      <c r="C302">
        <v>13200</v>
      </c>
      <c r="D302" t="s">
        <v>62</v>
      </c>
      <c r="E302" t="s">
        <v>63</v>
      </c>
      <c r="F302" t="s">
        <v>63</v>
      </c>
      <c r="G302" t="s">
        <v>63</v>
      </c>
      <c r="H302" t="s">
        <v>63</v>
      </c>
      <c r="I302">
        <v>3500</v>
      </c>
      <c r="J302" t="s">
        <v>68</v>
      </c>
      <c r="K302" t="s">
        <v>68</v>
      </c>
      <c r="L302">
        <v>0</v>
      </c>
      <c r="M302">
        <v>0</v>
      </c>
      <c r="N302">
        <v>0</v>
      </c>
      <c r="O302">
        <v>0</v>
      </c>
      <c r="P302">
        <v>3370</v>
      </c>
      <c r="Q302">
        <v>3660</v>
      </c>
      <c r="R302" t="s">
        <v>63</v>
      </c>
      <c r="S302" t="s">
        <v>63</v>
      </c>
    </row>
    <row r="303" spans="1:19" x14ac:dyDescent="0.4">
      <c r="A303" t="s">
        <v>67</v>
      </c>
      <c r="B303">
        <v>202112</v>
      </c>
      <c r="C303">
        <v>13200</v>
      </c>
      <c r="D303" t="s">
        <v>64</v>
      </c>
      <c r="E303" t="s">
        <v>63</v>
      </c>
      <c r="F303" t="s">
        <v>63</v>
      </c>
      <c r="G303" t="s">
        <v>63</v>
      </c>
      <c r="H303" t="s">
        <v>63</v>
      </c>
      <c r="I303">
        <v>38.5</v>
      </c>
      <c r="J303" t="s">
        <v>68</v>
      </c>
      <c r="K303" t="s">
        <v>68</v>
      </c>
      <c r="L303">
        <v>0</v>
      </c>
      <c r="M303">
        <v>0</v>
      </c>
      <c r="N303">
        <v>0</v>
      </c>
      <c r="O303">
        <v>85</v>
      </c>
      <c r="P303">
        <v>20</v>
      </c>
      <c r="Q303">
        <v>178</v>
      </c>
      <c r="R303">
        <v>650</v>
      </c>
      <c r="S303">
        <v>42.5</v>
      </c>
    </row>
    <row r="304" spans="1:19" x14ac:dyDescent="0.4">
      <c r="A304" t="s">
        <v>67</v>
      </c>
      <c r="B304">
        <v>202112</v>
      </c>
      <c r="C304">
        <v>13400</v>
      </c>
      <c r="D304" t="s">
        <v>62</v>
      </c>
      <c r="E304" t="s">
        <v>63</v>
      </c>
      <c r="F304" t="s">
        <v>63</v>
      </c>
      <c r="G304" t="s">
        <v>63</v>
      </c>
      <c r="H304" t="s">
        <v>63</v>
      </c>
      <c r="I304">
        <v>3300</v>
      </c>
      <c r="J304" t="s">
        <v>68</v>
      </c>
      <c r="K304" t="s">
        <v>68</v>
      </c>
      <c r="L304">
        <v>0</v>
      </c>
      <c r="M304">
        <v>0</v>
      </c>
      <c r="N304">
        <v>0</v>
      </c>
      <c r="O304">
        <v>0</v>
      </c>
      <c r="P304">
        <v>3160</v>
      </c>
      <c r="Q304">
        <v>3450</v>
      </c>
      <c r="R304" t="s">
        <v>63</v>
      </c>
      <c r="S304" t="s">
        <v>63</v>
      </c>
    </row>
    <row r="305" spans="1:19" x14ac:dyDescent="0.4">
      <c r="A305" t="s">
        <v>67</v>
      </c>
      <c r="B305">
        <v>202112</v>
      </c>
      <c r="C305">
        <v>13400</v>
      </c>
      <c r="D305" t="s">
        <v>64</v>
      </c>
      <c r="E305">
        <v>39</v>
      </c>
      <c r="F305">
        <v>45</v>
      </c>
      <c r="G305">
        <v>38</v>
      </c>
      <c r="H305">
        <v>42</v>
      </c>
      <c r="I305">
        <v>42</v>
      </c>
      <c r="J305" t="s">
        <v>135</v>
      </c>
      <c r="K305" t="s">
        <v>284</v>
      </c>
      <c r="L305">
        <v>0</v>
      </c>
      <c r="M305">
        <v>13</v>
      </c>
      <c r="N305">
        <v>13</v>
      </c>
      <c r="O305">
        <v>74</v>
      </c>
      <c r="P305">
        <v>30</v>
      </c>
      <c r="Q305">
        <v>45.5</v>
      </c>
      <c r="R305">
        <v>381</v>
      </c>
      <c r="S305">
        <v>38</v>
      </c>
    </row>
    <row r="306" spans="1:19" x14ac:dyDescent="0.4">
      <c r="A306" t="s">
        <v>67</v>
      </c>
      <c r="B306">
        <v>202112</v>
      </c>
      <c r="C306">
        <v>13600</v>
      </c>
      <c r="D306" t="s">
        <v>62</v>
      </c>
      <c r="E306" t="s">
        <v>63</v>
      </c>
      <c r="F306" t="s">
        <v>63</v>
      </c>
      <c r="G306" t="s">
        <v>63</v>
      </c>
      <c r="H306" t="s">
        <v>63</v>
      </c>
      <c r="I306">
        <v>3110</v>
      </c>
      <c r="J306" t="s">
        <v>68</v>
      </c>
      <c r="K306" t="s">
        <v>68</v>
      </c>
      <c r="L306">
        <v>0</v>
      </c>
      <c r="M306">
        <v>0</v>
      </c>
      <c r="N306">
        <v>0</v>
      </c>
      <c r="O306">
        <v>0</v>
      </c>
      <c r="P306">
        <v>2980</v>
      </c>
      <c r="Q306">
        <v>3270</v>
      </c>
      <c r="R306" t="s">
        <v>63</v>
      </c>
      <c r="S306" t="s">
        <v>63</v>
      </c>
    </row>
    <row r="307" spans="1:19" x14ac:dyDescent="0.4">
      <c r="A307" t="s">
        <v>67</v>
      </c>
      <c r="B307">
        <v>202112</v>
      </c>
      <c r="C307">
        <v>13600</v>
      </c>
      <c r="D307" t="s">
        <v>64</v>
      </c>
      <c r="E307">
        <v>50</v>
      </c>
      <c r="F307">
        <v>50</v>
      </c>
      <c r="G307">
        <v>50</v>
      </c>
      <c r="H307">
        <v>50</v>
      </c>
      <c r="I307">
        <v>50</v>
      </c>
      <c r="J307" t="s">
        <v>73</v>
      </c>
      <c r="K307" s="28">
        <v>0</v>
      </c>
      <c r="L307">
        <v>1</v>
      </c>
      <c r="M307">
        <v>1</v>
      </c>
      <c r="N307">
        <v>2</v>
      </c>
      <c r="O307">
        <v>128</v>
      </c>
      <c r="P307">
        <v>25</v>
      </c>
      <c r="Q307">
        <v>51</v>
      </c>
      <c r="R307">
        <v>815</v>
      </c>
      <c r="S307">
        <v>13</v>
      </c>
    </row>
    <row r="308" spans="1:19" x14ac:dyDescent="0.4">
      <c r="A308" t="s">
        <v>67</v>
      </c>
      <c r="B308">
        <v>202112</v>
      </c>
      <c r="C308">
        <v>13800</v>
      </c>
      <c r="D308" t="s">
        <v>62</v>
      </c>
      <c r="E308" t="s">
        <v>63</v>
      </c>
      <c r="F308" t="s">
        <v>63</v>
      </c>
      <c r="G308" t="s">
        <v>63</v>
      </c>
      <c r="H308" t="s">
        <v>63</v>
      </c>
      <c r="I308">
        <v>2910</v>
      </c>
      <c r="J308" t="s">
        <v>68</v>
      </c>
      <c r="K308" t="s">
        <v>68</v>
      </c>
      <c r="L308">
        <v>0</v>
      </c>
      <c r="M308">
        <v>0</v>
      </c>
      <c r="N308">
        <v>0</v>
      </c>
      <c r="O308">
        <v>0</v>
      </c>
      <c r="P308">
        <v>2780</v>
      </c>
      <c r="Q308">
        <v>3080</v>
      </c>
      <c r="R308" t="s">
        <v>63</v>
      </c>
      <c r="S308" t="s">
        <v>63</v>
      </c>
    </row>
    <row r="309" spans="1:19" x14ac:dyDescent="0.4">
      <c r="A309" t="s">
        <v>67</v>
      </c>
      <c r="B309">
        <v>202112</v>
      </c>
      <c r="C309">
        <v>13800</v>
      </c>
      <c r="D309" t="s">
        <v>64</v>
      </c>
      <c r="E309">
        <v>55</v>
      </c>
      <c r="F309">
        <v>55</v>
      </c>
      <c r="G309">
        <v>51</v>
      </c>
      <c r="H309">
        <v>54</v>
      </c>
      <c r="I309">
        <v>54</v>
      </c>
      <c r="J309" t="s">
        <v>111</v>
      </c>
      <c r="K309" t="s">
        <v>109</v>
      </c>
      <c r="L309">
        <v>0</v>
      </c>
      <c r="M309">
        <v>6</v>
      </c>
      <c r="N309">
        <v>6</v>
      </c>
      <c r="O309">
        <v>73</v>
      </c>
      <c r="P309">
        <v>39</v>
      </c>
      <c r="Q309">
        <v>57</v>
      </c>
      <c r="R309">
        <v>800</v>
      </c>
      <c r="S309">
        <v>50</v>
      </c>
    </row>
    <row r="310" spans="1:19" x14ac:dyDescent="0.4">
      <c r="A310" t="s">
        <v>67</v>
      </c>
      <c r="B310">
        <v>202112</v>
      </c>
      <c r="C310">
        <v>13900</v>
      </c>
      <c r="D310" t="s">
        <v>62</v>
      </c>
      <c r="E310" t="s">
        <v>63</v>
      </c>
      <c r="F310" t="s">
        <v>63</v>
      </c>
      <c r="G310" t="s">
        <v>63</v>
      </c>
      <c r="H310" t="s">
        <v>63</v>
      </c>
      <c r="I310">
        <v>2820</v>
      </c>
      <c r="J310" t="s">
        <v>68</v>
      </c>
      <c r="K310" t="s">
        <v>68</v>
      </c>
      <c r="L310">
        <v>0</v>
      </c>
      <c r="M310">
        <v>0</v>
      </c>
      <c r="N310">
        <v>0</v>
      </c>
      <c r="O310">
        <v>0</v>
      </c>
      <c r="P310">
        <v>2690</v>
      </c>
      <c r="Q310">
        <v>2990</v>
      </c>
      <c r="R310" t="s">
        <v>63</v>
      </c>
      <c r="S310" t="s">
        <v>63</v>
      </c>
    </row>
    <row r="311" spans="1:19" x14ac:dyDescent="0.4">
      <c r="A311" t="s">
        <v>67</v>
      </c>
      <c r="B311">
        <v>202112</v>
      </c>
      <c r="C311">
        <v>13900</v>
      </c>
      <c r="D311" t="s">
        <v>64</v>
      </c>
      <c r="E311" t="s">
        <v>63</v>
      </c>
      <c r="F311" t="s">
        <v>63</v>
      </c>
      <c r="G311" t="s">
        <v>63</v>
      </c>
      <c r="H311" t="s">
        <v>63</v>
      </c>
      <c r="I311">
        <v>58</v>
      </c>
      <c r="J311" t="s">
        <v>68</v>
      </c>
      <c r="K311" s="28" t="s">
        <v>68</v>
      </c>
      <c r="L311">
        <v>0</v>
      </c>
      <c r="M311">
        <v>0</v>
      </c>
      <c r="N311">
        <v>0</v>
      </c>
      <c r="O311">
        <v>28</v>
      </c>
      <c r="P311">
        <v>31</v>
      </c>
      <c r="Q311">
        <v>200</v>
      </c>
      <c r="R311">
        <v>123</v>
      </c>
      <c r="S311">
        <v>63</v>
      </c>
    </row>
    <row r="312" spans="1:19" x14ac:dyDescent="0.4">
      <c r="A312" t="s">
        <v>67</v>
      </c>
      <c r="B312">
        <v>202112</v>
      </c>
      <c r="C312">
        <v>14000</v>
      </c>
      <c r="D312" t="s">
        <v>62</v>
      </c>
      <c r="E312" t="s">
        <v>63</v>
      </c>
      <c r="F312" t="s">
        <v>63</v>
      </c>
      <c r="G312" t="s">
        <v>63</v>
      </c>
      <c r="H312" t="s">
        <v>63</v>
      </c>
      <c r="I312">
        <v>2720</v>
      </c>
      <c r="J312" t="s">
        <v>68</v>
      </c>
      <c r="K312" t="s">
        <v>68</v>
      </c>
      <c r="L312">
        <v>0</v>
      </c>
      <c r="M312">
        <v>0</v>
      </c>
      <c r="N312">
        <v>0</v>
      </c>
      <c r="O312">
        <v>2</v>
      </c>
      <c r="P312">
        <v>2590</v>
      </c>
      <c r="Q312">
        <v>2850</v>
      </c>
      <c r="R312">
        <v>1910</v>
      </c>
      <c r="S312">
        <v>1880</v>
      </c>
    </row>
    <row r="313" spans="1:19" x14ac:dyDescent="0.4">
      <c r="A313" t="s">
        <v>67</v>
      </c>
      <c r="B313">
        <v>202112</v>
      </c>
      <c r="C313">
        <v>14000</v>
      </c>
      <c r="D313" t="s">
        <v>64</v>
      </c>
      <c r="E313">
        <v>61</v>
      </c>
      <c r="F313">
        <v>65</v>
      </c>
      <c r="G313">
        <v>61</v>
      </c>
      <c r="H313">
        <v>61</v>
      </c>
      <c r="I313">
        <v>63</v>
      </c>
      <c r="J313" t="s">
        <v>77</v>
      </c>
      <c r="K313" t="s">
        <v>271</v>
      </c>
      <c r="L313">
        <v>10</v>
      </c>
      <c r="M313">
        <v>14</v>
      </c>
      <c r="N313">
        <v>24</v>
      </c>
      <c r="O313">
        <v>282</v>
      </c>
      <c r="P313">
        <v>62</v>
      </c>
      <c r="Q313">
        <v>204</v>
      </c>
      <c r="R313">
        <v>1000</v>
      </c>
      <c r="S313">
        <v>61</v>
      </c>
    </row>
    <row r="314" spans="1:19" x14ac:dyDescent="0.4">
      <c r="A314" t="s">
        <v>67</v>
      </c>
      <c r="B314">
        <v>202112</v>
      </c>
      <c r="C314">
        <v>14100</v>
      </c>
      <c r="D314" t="s">
        <v>62</v>
      </c>
      <c r="E314" t="s">
        <v>63</v>
      </c>
      <c r="F314" t="s">
        <v>63</v>
      </c>
      <c r="G314" t="s">
        <v>63</v>
      </c>
      <c r="H314" t="s">
        <v>63</v>
      </c>
      <c r="I314">
        <v>2630</v>
      </c>
      <c r="J314" t="s">
        <v>68</v>
      </c>
      <c r="K314" t="s">
        <v>68</v>
      </c>
      <c r="L314">
        <v>0</v>
      </c>
      <c r="M314">
        <v>0</v>
      </c>
      <c r="N314">
        <v>0</v>
      </c>
      <c r="O314">
        <v>0</v>
      </c>
      <c r="P314">
        <v>2500</v>
      </c>
      <c r="Q314">
        <v>2760</v>
      </c>
      <c r="R314" t="s">
        <v>63</v>
      </c>
      <c r="S314" t="s">
        <v>63</v>
      </c>
    </row>
    <row r="315" spans="1:19" x14ac:dyDescent="0.4">
      <c r="A315" t="s">
        <v>67</v>
      </c>
      <c r="B315">
        <v>202112</v>
      </c>
      <c r="C315">
        <v>14100</v>
      </c>
      <c r="D315" t="s">
        <v>64</v>
      </c>
      <c r="E315" t="s">
        <v>63</v>
      </c>
      <c r="F315" t="s">
        <v>63</v>
      </c>
      <c r="G315" t="s">
        <v>63</v>
      </c>
      <c r="H315" t="s">
        <v>63</v>
      </c>
      <c r="I315">
        <v>68</v>
      </c>
      <c r="J315" t="s">
        <v>68</v>
      </c>
      <c r="K315" s="28" t="s">
        <v>68</v>
      </c>
      <c r="L315">
        <v>0</v>
      </c>
      <c r="M315">
        <v>0</v>
      </c>
      <c r="N315">
        <v>0</v>
      </c>
      <c r="O315">
        <v>8</v>
      </c>
      <c r="P315">
        <v>39</v>
      </c>
      <c r="Q315">
        <v>209</v>
      </c>
      <c r="R315">
        <v>165</v>
      </c>
      <c r="S315">
        <v>75</v>
      </c>
    </row>
    <row r="316" spans="1:19" x14ac:dyDescent="0.4">
      <c r="A316" t="s">
        <v>67</v>
      </c>
      <c r="B316">
        <v>202112</v>
      </c>
      <c r="C316">
        <v>14200</v>
      </c>
      <c r="D316" t="s">
        <v>62</v>
      </c>
      <c r="E316" t="s">
        <v>63</v>
      </c>
      <c r="F316" t="s">
        <v>63</v>
      </c>
      <c r="G316" t="s">
        <v>63</v>
      </c>
      <c r="H316" t="s">
        <v>63</v>
      </c>
      <c r="I316">
        <v>2530</v>
      </c>
      <c r="J316" t="s">
        <v>68</v>
      </c>
      <c r="K316" t="s">
        <v>68</v>
      </c>
      <c r="L316">
        <v>0</v>
      </c>
      <c r="M316">
        <v>0</v>
      </c>
      <c r="N316">
        <v>0</v>
      </c>
      <c r="O316">
        <v>4</v>
      </c>
      <c r="P316">
        <v>2400</v>
      </c>
      <c r="Q316">
        <v>2670</v>
      </c>
      <c r="R316">
        <v>1770</v>
      </c>
      <c r="S316">
        <v>1760</v>
      </c>
    </row>
    <row r="317" spans="1:19" x14ac:dyDescent="0.4">
      <c r="A317" t="s">
        <v>67</v>
      </c>
      <c r="B317">
        <v>202112</v>
      </c>
      <c r="C317">
        <v>14200</v>
      </c>
      <c r="D317" t="s">
        <v>64</v>
      </c>
      <c r="E317">
        <v>74</v>
      </c>
      <c r="F317">
        <v>76</v>
      </c>
      <c r="G317">
        <v>72</v>
      </c>
      <c r="H317">
        <v>74</v>
      </c>
      <c r="I317">
        <v>74</v>
      </c>
      <c r="J317" t="s">
        <v>139</v>
      </c>
      <c r="K317" t="s">
        <v>481</v>
      </c>
      <c r="L317">
        <v>21</v>
      </c>
      <c r="M317">
        <v>63</v>
      </c>
      <c r="N317">
        <v>84</v>
      </c>
      <c r="O317">
        <v>293</v>
      </c>
      <c r="P317">
        <v>73</v>
      </c>
      <c r="Q317">
        <v>214</v>
      </c>
      <c r="R317">
        <v>970</v>
      </c>
      <c r="S317">
        <v>72</v>
      </c>
    </row>
    <row r="318" spans="1:19" x14ac:dyDescent="0.4">
      <c r="A318" t="s">
        <v>67</v>
      </c>
      <c r="B318">
        <v>202112</v>
      </c>
      <c r="C318">
        <v>14300</v>
      </c>
      <c r="D318" t="s">
        <v>62</v>
      </c>
      <c r="E318" t="s">
        <v>63</v>
      </c>
      <c r="F318" t="s">
        <v>63</v>
      </c>
      <c r="G318" t="s">
        <v>63</v>
      </c>
      <c r="H318" t="s">
        <v>63</v>
      </c>
      <c r="I318">
        <v>2440</v>
      </c>
      <c r="J318" t="s">
        <v>68</v>
      </c>
      <c r="K318" t="s">
        <v>68</v>
      </c>
      <c r="L318">
        <v>0</v>
      </c>
      <c r="M318">
        <v>0</v>
      </c>
      <c r="N318">
        <v>0</v>
      </c>
      <c r="O318">
        <v>0</v>
      </c>
      <c r="P318">
        <v>2310</v>
      </c>
      <c r="Q318">
        <v>2570</v>
      </c>
      <c r="R318" t="s">
        <v>63</v>
      </c>
      <c r="S318" t="s">
        <v>63</v>
      </c>
    </row>
    <row r="319" spans="1:19" x14ac:dyDescent="0.4">
      <c r="A319" t="s">
        <v>67</v>
      </c>
      <c r="B319">
        <v>202112</v>
      </c>
      <c r="C319">
        <v>14300</v>
      </c>
      <c r="D319" t="s">
        <v>64</v>
      </c>
      <c r="E319" t="s">
        <v>63</v>
      </c>
      <c r="F319" t="s">
        <v>63</v>
      </c>
      <c r="G319" t="s">
        <v>63</v>
      </c>
      <c r="H319" t="s">
        <v>63</v>
      </c>
      <c r="I319">
        <v>78</v>
      </c>
      <c r="J319" t="s">
        <v>68</v>
      </c>
      <c r="K319" t="s">
        <v>68</v>
      </c>
      <c r="L319">
        <v>0</v>
      </c>
      <c r="M319">
        <v>0</v>
      </c>
      <c r="N319">
        <v>0</v>
      </c>
      <c r="O319">
        <v>2</v>
      </c>
      <c r="P319">
        <v>49</v>
      </c>
      <c r="Q319">
        <v>220</v>
      </c>
      <c r="R319">
        <v>190</v>
      </c>
      <c r="S319">
        <v>92</v>
      </c>
    </row>
    <row r="320" spans="1:19" x14ac:dyDescent="0.4">
      <c r="A320" t="s">
        <v>67</v>
      </c>
      <c r="B320">
        <v>202112</v>
      </c>
      <c r="C320">
        <v>14400</v>
      </c>
      <c r="D320" t="s">
        <v>62</v>
      </c>
      <c r="E320" t="s">
        <v>63</v>
      </c>
      <c r="F320" t="s">
        <v>63</v>
      </c>
      <c r="G320" t="s">
        <v>63</v>
      </c>
      <c r="H320" t="s">
        <v>63</v>
      </c>
      <c r="I320">
        <v>2340</v>
      </c>
      <c r="J320" t="s">
        <v>68</v>
      </c>
      <c r="K320" s="28" t="s">
        <v>68</v>
      </c>
      <c r="L320">
        <v>0</v>
      </c>
      <c r="M320">
        <v>0</v>
      </c>
      <c r="N320">
        <v>0</v>
      </c>
      <c r="O320">
        <v>0</v>
      </c>
      <c r="P320">
        <v>2210</v>
      </c>
      <c r="Q320">
        <v>2470</v>
      </c>
      <c r="R320" t="s">
        <v>63</v>
      </c>
      <c r="S320" t="s">
        <v>63</v>
      </c>
    </row>
    <row r="321" spans="1:19" x14ac:dyDescent="0.4">
      <c r="A321" t="s">
        <v>67</v>
      </c>
      <c r="B321">
        <v>202112</v>
      </c>
      <c r="C321">
        <v>14400</v>
      </c>
      <c r="D321" t="s">
        <v>64</v>
      </c>
      <c r="E321">
        <v>83</v>
      </c>
      <c r="F321">
        <v>83</v>
      </c>
      <c r="G321">
        <v>83</v>
      </c>
      <c r="H321">
        <v>83</v>
      </c>
      <c r="I321">
        <v>83</v>
      </c>
      <c r="J321" t="s">
        <v>82</v>
      </c>
      <c r="K321" t="s">
        <v>482</v>
      </c>
      <c r="L321">
        <v>21</v>
      </c>
      <c r="M321">
        <v>2</v>
      </c>
      <c r="N321">
        <v>23</v>
      </c>
      <c r="O321">
        <v>269</v>
      </c>
      <c r="P321">
        <v>50</v>
      </c>
      <c r="Q321">
        <v>101</v>
      </c>
      <c r="R321">
        <v>1080</v>
      </c>
      <c r="S321">
        <v>83</v>
      </c>
    </row>
    <row r="322" spans="1:19" x14ac:dyDescent="0.4">
      <c r="A322" t="s">
        <v>67</v>
      </c>
      <c r="B322">
        <v>202112</v>
      </c>
      <c r="C322">
        <v>14500</v>
      </c>
      <c r="D322" t="s">
        <v>62</v>
      </c>
      <c r="E322" t="s">
        <v>63</v>
      </c>
      <c r="F322" t="s">
        <v>63</v>
      </c>
      <c r="G322" t="s">
        <v>63</v>
      </c>
      <c r="H322" t="s">
        <v>63</v>
      </c>
      <c r="I322">
        <v>2250</v>
      </c>
      <c r="J322" t="s">
        <v>68</v>
      </c>
      <c r="K322" t="s">
        <v>68</v>
      </c>
      <c r="L322">
        <v>0</v>
      </c>
      <c r="M322">
        <v>0</v>
      </c>
      <c r="N322">
        <v>0</v>
      </c>
      <c r="O322">
        <v>0</v>
      </c>
      <c r="P322">
        <v>2120</v>
      </c>
      <c r="Q322">
        <v>2380</v>
      </c>
      <c r="R322" t="s">
        <v>63</v>
      </c>
      <c r="S322" t="s">
        <v>63</v>
      </c>
    </row>
    <row r="323" spans="1:19" x14ac:dyDescent="0.4">
      <c r="A323" t="s">
        <v>67</v>
      </c>
      <c r="B323">
        <v>202112</v>
      </c>
      <c r="C323">
        <v>14500</v>
      </c>
      <c r="D323" t="s">
        <v>64</v>
      </c>
      <c r="E323">
        <v>90</v>
      </c>
      <c r="F323">
        <v>93</v>
      </c>
      <c r="G323">
        <v>90</v>
      </c>
      <c r="H323">
        <v>93</v>
      </c>
      <c r="I323">
        <v>93</v>
      </c>
      <c r="J323" t="s">
        <v>73</v>
      </c>
      <c r="K323" s="28">
        <v>0</v>
      </c>
      <c r="L323">
        <v>0</v>
      </c>
      <c r="M323">
        <v>22</v>
      </c>
      <c r="N323">
        <v>22</v>
      </c>
      <c r="O323">
        <v>38</v>
      </c>
      <c r="P323">
        <v>56</v>
      </c>
      <c r="Q323">
        <v>233</v>
      </c>
      <c r="R323">
        <v>205</v>
      </c>
      <c r="S323">
        <v>90</v>
      </c>
    </row>
    <row r="324" spans="1:19" x14ac:dyDescent="0.4">
      <c r="A324" t="s">
        <v>67</v>
      </c>
      <c r="B324">
        <v>202112</v>
      </c>
      <c r="C324">
        <v>14600</v>
      </c>
      <c r="D324" t="s">
        <v>62</v>
      </c>
      <c r="E324" t="s">
        <v>63</v>
      </c>
      <c r="F324" t="s">
        <v>63</v>
      </c>
      <c r="G324" t="s">
        <v>63</v>
      </c>
      <c r="H324" t="s">
        <v>63</v>
      </c>
      <c r="I324">
        <v>2160</v>
      </c>
      <c r="J324" t="s">
        <v>68</v>
      </c>
      <c r="K324" t="s">
        <v>68</v>
      </c>
      <c r="L324">
        <v>0</v>
      </c>
      <c r="M324">
        <v>0</v>
      </c>
      <c r="N324">
        <v>0</v>
      </c>
      <c r="O324">
        <v>1</v>
      </c>
      <c r="P324">
        <v>2030</v>
      </c>
      <c r="Q324">
        <v>2330</v>
      </c>
      <c r="R324">
        <v>2550</v>
      </c>
      <c r="S324">
        <v>1270</v>
      </c>
    </row>
    <row r="325" spans="1:19" x14ac:dyDescent="0.4">
      <c r="A325" t="s">
        <v>67</v>
      </c>
      <c r="B325">
        <v>202112</v>
      </c>
      <c r="C325">
        <v>14600</v>
      </c>
      <c r="D325" t="s">
        <v>64</v>
      </c>
      <c r="E325">
        <v>97</v>
      </c>
      <c r="F325">
        <v>97</v>
      </c>
      <c r="G325">
        <v>97</v>
      </c>
      <c r="H325">
        <v>97</v>
      </c>
      <c r="I325">
        <v>97</v>
      </c>
      <c r="J325" t="s">
        <v>95</v>
      </c>
      <c r="K325" t="s">
        <v>483</v>
      </c>
      <c r="L325">
        <v>1</v>
      </c>
      <c r="M325">
        <v>1</v>
      </c>
      <c r="N325">
        <v>2</v>
      </c>
      <c r="O325">
        <v>245</v>
      </c>
      <c r="P325">
        <v>13</v>
      </c>
      <c r="Q325">
        <v>105</v>
      </c>
      <c r="R325">
        <v>1050</v>
      </c>
      <c r="S325">
        <v>97</v>
      </c>
    </row>
    <row r="326" spans="1:19" x14ac:dyDescent="0.4">
      <c r="A326" t="s">
        <v>67</v>
      </c>
      <c r="B326">
        <v>202112</v>
      </c>
      <c r="C326">
        <v>14700</v>
      </c>
      <c r="D326" t="s">
        <v>62</v>
      </c>
      <c r="E326" t="s">
        <v>63</v>
      </c>
      <c r="F326" t="s">
        <v>63</v>
      </c>
      <c r="G326" t="s">
        <v>63</v>
      </c>
      <c r="H326" t="s">
        <v>63</v>
      </c>
      <c r="I326">
        <v>2070</v>
      </c>
      <c r="J326" t="s">
        <v>68</v>
      </c>
      <c r="K326" t="s">
        <v>68</v>
      </c>
      <c r="L326">
        <v>0</v>
      </c>
      <c r="M326">
        <v>0</v>
      </c>
      <c r="N326">
        <v>0</v>
      </c>
      <c r="O326">
        <v>0</v>
      </c>
      <c r="P326">
        <v>1930</v>
      </c>
      <c r="Q326">
        <v>2190</v>
      </c>
      <c r="R326" t="s">
        <v>63</v>
      </c>
      <c r="S326" t="s">
        <v>63</v>
      </c>
    </row>
    <row r="327" spans="1:19" x14ac:dyDescent="0.4">
      <c r="A327" t="s">
        <v>67</v>
      </c>
      <c r="B327">
        <v>202112</v>
      </c>
      <c r="C327">
        <v>14700</v>
      </c>
      <c r="D327" t="s">
        <v>64</v>
      </c>
      <c r="E327">
        <v>106</v>
      </c>
      <c r="F327">
        <v>108</v>
      </c>
      <c r="G327">
        <v>106</v>
      </c>
      <c r="H327">
        <v>107</v>
      </c>
      <c r="I327">
        <v>107</v>
      </c>
      <c r="J327" t="s">
        <v>130</v>
      </c>
      <c r="K327" t="s">
        <v>484</v>
      </c>
      <c r="L327">
        <v>1</v>
      </c>
      <c r="M327">
        <v>7</v>
      </c>
      <c r="N327">
        <v>8</v>
      </c>
      <c r="O327">
        <v>14</v>
      </c>
      <c r="P327">
        <v>40.5</v>
      </c>
      <c r="Q327">
        <v>248</v>
      </c>
      <c r="R327">
        <v>257</v>
      </c>
      <c r="S327">
        <v>106</v>
      </c>
    </row>
    <row r="328" spans="1:19" x14ac:dyDescent="0.4">
      <c r="A328" t="s">
        <v>67</v>
      </c>
      <c r="B328">
        <v>202112</v>
      </c>
      <c r="C328">
        <v>14800</v>
      </c>
      <c r="D328" t="s">
        <v>62</v>
      </c>
      <c r="E328" t="s">
        <v>63</v>
      </c>
      <c r="F328" t="s">
        <v>63</v>
      </c>
      <c r="G328" t="s">
        <v>63</v>
      </c>
      <c r="H328" t="s">
        <v>63</v>
      </c>
      <c r="I328">
        <v>1970</v>
      </c>
      <c r="J328" t="s">
        <v>68</v>
      </c>
      <c r="K328" s="28" t="s">
        <v>68</v>
      </c>
      <c r="L328">
        <v>0</v>
      </c>
      <c r="M328">
        <v>0</v>
      </c>
      <c r="N328">
        <v>0</v>
      </c>
      <c r="O328">
        <v>1</v>
      </c>
      <c r="P328">
        <v>1840</v>
      </c>
      <c r="Q328">
        <v>2100</v>
      </c>
      <c r="R328">
        <v>2510</v>
      </c>
      <c r="S328">
        <v>980</v>
      </c>
    </row>
    <row r="329" spans="1:19" x14ac:dyDescent="0.4">
      <c r="A329" t="s">
        <v>67</v>
      </c>
      <c r="B329">
        <v>202112</v>
      </c>
      <c r="C329">
        <v>14800</v>
      </c>
      <c r="D329" t="s">
        <v>64</v>
      </c>
      <c r="E329">
        <v>119</v>
      </c>
      <c r="F329">
        <v>119</v>
      </c>
      <c r="G329">
        <v>114</v>
      </c>
      <c r="H329">
        <v>114</v>
      </c>
      <c r="I329">
        <v>114</v>
      </c>
      <c r="J329" t="s">
        <v>139</v>
      </c>
      <c r="K329" t="s">
        <v>485</v>
      </c>
      <c r="L329">
        <v>0</v>
      </c>
      <c r="M329">
        <v>3</v>
      </c>
      <c r="N329">
        <v>3</v>
      </c>
      <c r="O329">
        <v>253</v>
      </c>
      <c r="P329">
        <v>103</v>
      </c>
      <c r="Q329">
        <v>132</v>
      </c>
      <c r="R329">
        <v>1190</v>
      </c>
      <c r="S329">
        <v>113</v>
      </c>
    </row>
    <row r="330" spans="1:19" x14ac:dyDescent="0.4">
      <c r="A330" t="s">
        <v>67</v>
      </c>
      <c r="B330">
        <v>202112</v>
      </c>
      <c r="C330">
        <v>14900</v>
      </c>
      <c r="D330" t="s">
        <v>62</v>
      </c>
      <c r="E330" t="s">
        <v>63</v>
      </c>
      <c r="F330" t="s">
        <v>63</v>
      </c>
      <c r="G330" t="s">
        <v>63</v>
      </c>
      <c r="H330" t="s">
        <v>63</v>
      </c>
      <c r="I330">
        <v>1880</v>
      </c>
      <c r="J330" t="s">
        <v>68</v>
      </c>
      <c r="K330" t="s">
        <v>68</v>
      </c>
      <c r="L330">
        <v>0</v>
      </c>
      <c r="M330">
        <v>0</v>
      </c>
      <c r="N330">
        <v>0</v>
      </c>
      <c r="O330">
        <v>0</v>
      </c>
      <c r="P330">
        <v>1750</v>
      </c>
      <c r="Q330">
        <v>2010</v>
      </c>
      <c r="R330" t="s">
        <v>63</v>
      </c>
      <c r="S330" t="s">
        <v>63</v>
      </c>
    </row>
    <row r="331" spans="1:19" x14ac:dyDescent="0.4">
      <c r="A331" t="s">
        <v>67</v>
      </c>
      <c r="B331">
        <v>202112</v>
      </c>
      <c r="C331">
        <v>14900</v>
      </c>
      <c r="D331" t="s">
        <v>64</v>
      </c>
      <c r="E331" t="s">
        <v>63</v>
      </c>
      <c r="F331" t="s">
        <v>63</v>
      </c>
      <c r="G331" t="s">
        <v>63</v>
      </c>
      <c r="H331" t="s">
        <v>63</v>
      </c>
      <c r="I331">
        <v>123</v>
      </c>
      <c r="J331" t="s">
        <v>68</v>
      </c>
      <c r="K331" t="s">
        <v>68</v>
      </c>
      <c r="L331">
        <v>0</v>
      </c>
      <c r="M331">
        <v>0</v>
      </c>
      <c r="N331">
        <v>0</v>
      </c>
      <c r="O331">
        <v>18</v>
      </c>
      <c r="P331">
        <v>44.5</v>
      </c>
      <c r="Q331">
        <v>266</v>
      </c>
      <c r="R331">
        <v>263</v>
      </c>
      <c r="S331">
        <v>148</v>
      </c>
    </row>
    <row r="332" spans="1:19" x14ac:dyDescent="0.4">
      <c r="A332" t="s">
        <v>67</v>
      </c>
      <c r="B332">
        <v>202112</v>
      </c>
      <c r="C332">
        <v>15000</v>
      </c>
      <c r="D332" t="s">
        <v>62</v>
      </c>
      <c r="E332" t="s">
        <v>63</v>
      </c>
      <c r="F332" t="s">
        <v>63</v>
      </c>
      <c r="G332" t="s">
        <v>63</v>
      </c>
      <c r="H332" t="s">
        <v>63</v>
      </c>
      <c r="I332">
        <v>1790</v>
      </c>
      <c r="J332" t="s">
        <v>68</v>
      </c>
      <c r="K332" t="s">
        <v>68</v>
      </c>
      <c r="L332">
        <v>0</v>
      </c>
      <c r="M332">
        <v>0</v>
      </c>
      <c r="N332">
        <v>0</v>
      </c>
      <c r="O332">
        <v>16</v>
      </c>
      <c r="P332">
        <v>1660</v>
      </c>
      <c r="Q332">
        <v>1920</v>
      </c>
      <c r="R332">
        <v>2730</v>
      </c>
      <c r="S332">
        <v>820</v>
      </c>
    </row>
    <row r="333" spans="1:19" x14ac:dyDescent="0.4">
      <c r="A333" t="s">
        <v>67</v>
      </c>
      <c r="B333">
        <v>202112</v>
      </c>
      <c r="C333">
        <v>15000</v>
      </c>
      <c r="D333" t="s">
        <v>64</v>
      </c>
      <c r="E333">
        <v>125</v>
      </c>
      <c r="F333">
        <v>138</v>
      </c>
      <c r="G333">
        <v>124</v>
      </c>
      <c r="H333">
        <v>133</v>
      </c>
      <c r="I333">
        <v>133</v>
      </c>
      <c r="J333" t="s">
        <v>101</v>
      </c>
      <c r="K333" t="s">
        <v>486</v>
      </c>
      <c r="L333">
        <v>9</v>
      </c>
      <c r="M333">
        <v>8</v>
      </c>
      <c r="N333">
        <v>17</v>
      </c>
      <c r="O333">
        <v>2574</v>
      </c>
      <c r="P333">
        <v>122</v>
      </c>
      <c r="Q333">
        <v>149</v>
      </c>
      <c r="R333">
        <v>1310</v>
      </c>
      <c r="S333">
        <v>110</v>
      </c>
    </row>
    <row r="334" spans="1:19" x14ac:dyDescent="0.4">
      <c r="A334" t="s">
        <v>67</v>
      </c>
      <c r="B334">
        <v>202112</v>
      </c>
      <c r="C334">
        <v>15100</v>
      </c>
      <c r="D334" t="s">
        <v>62</v>
      </c>
      <c r="E334" t="s">
        <v>63</v>
      </c>
      <c r="F334" t="s">
        <v>63</v>
      </c>
      <c r="G334" t="s">
        <v>63</v>
      </c>
      <c r="H334" t="s">
        <v>63</v>
      </c>
      <c r="I334">
        <v>1700</v>
      </c>
      <c r="J334" t="s">
        <v>68</v>
      </c>
      <c r="K334" t="s">
        <v>68</v>
      </c>
      <c r="L334">
        <v>0</v>
      </c>
      <c r="M334">
        <v>0</v>
      </c>
      <c r="N334">
        <v>0</v>
      </c>
      <c r="O334">
        <v>0</v>
      </c>
      <c r="P334">
        <v>1570</v>
      </c>
      <c r="Q334">
        <v>1830</v>
      </c>
      <c r="R334" t="s">
        <v>63</v>
      </c>
      <c r="S334" t="s">
        <v>63</v>
      </c>
    </row>
    <row r="335" spans="1:19" x14ac:dyDescent="0.4">
      <c r="A335" t="s">
        <v>67</v>
      </c>
      <c r="B335">
        <v>202112</v>
      </c>
      <c r="C335">
        <v>15100</v>
      </c>
      <c r="D335" t="s">
        <v>64</v>
      </c>
      <c r="E335">
        <v>143</v>
      </c>
      <c r="F335">
        <v>143</v>
      </c>
      <c r="G335">
        <v>143</v>
      </c>
      <c r="H335">
        <v>143</v>
      </c>
      <c r="I335">
        <v>143</v>
      </c>
      <c r="J335" t="s">
        <v>101</v>
      </c>
      <c r="K335" t="s">
        <v>487</v>
      </c>
      <c r="L335">
        <v>5</v>
      </c>
      <c r="M335">
        <v>1</v>
      </c>
      <c r="N335">
        <v>6</v>
      </c>
      <c r="O335">
        <v>29</v>
      </c>
      <c r="P335">
        <v>53</v>
      </c>
      <c r="Q335">
        <v>288</v>
      </c>
      <c r="R335">
        <v>245</v>
      </c>
      <c r="S335">
        <v>141</v>
      </c>
    </row>
    <row r="336" spans="1:19" x14ac:dyDescent="0.4">
      <c r="A336" t="s">
        <v>67</v>
      </c>
      <c r="B336">
        <v>202112</v>
      </c>
      <c r="C336">
        <v>15200</v>
      </c>
      <c r="D336" t="s">
        <v>62</v>
      </c>
      <c r="E336" t="s">
        <v>63</v>
      </c>
      <c r="F336" t="s">
        <v>63</v>
      </c>
      <c r="G336" t="s">
        <v>63</v>
      </c>
      <c r="H336" t="s">
        <v>63</v>
      </c>
      <c r="I336">
        <v>1620</v>
      </c>
      <c r="J336" t="s">
        <v>68</v>
      </c>
      <c r="K336" t="s">
        <v>68</v>
      </c>
      <c r="L336">
        <v>0</v>
      </c>
      <c r="M336">
        <v>0</v>
      </c>
      <c r="N336">
        <v>0</v>
      </c>
      <c r="O336">
        <v>28</v>
      </c>
      <c r="P336">
        <v>1480</v>
      </c>
      <c r="Q336">
        <v>1790</v>
      </c>
      <c r="R336">
        <v>2140</v>
      </c>
      <c r="S336">
        <v>880</v>
      </c>
    </row>
    <row r="337" spans="1:19" x14ac:dyDescent="0.4">
      <c r="A337" t="s">
        <v>67</v>
      </c>
      <c r="B337">
        <v>202112</v>
      </c>
      <c r="C337">
        <v>15200</v>
      </c>
      <c r="D337" t="s">
        <v>64</v>
      </c>
      <c r="E337">
        <v>156</v>
      </c>
      <c r="F337">
        <v>161</v>
      </c>
      <c r="G337">
        <v>156</v>
      </c>
      <c r="H337">
        <v>161</v>
      </c>
      <c r="I337">
        <v>161</v>
      </c>
      <c r="J337" t="s">
        <v>111</v>
      </c>
      <c r="K337" t="s">
        <v>488</v>
      </c>
      <c r="L337">
        <v>0</v>
      </c>
      <c r="M337">
        <v>2</v>
      </c>
      <c r="N337">
        <v>2</v>
      </c>
      <c r="O337">
        <v>412</v>
      </c>
      <c r="P337">
        <v>120</v>
      </c>
      <c r="Q337">
        <v>300</v>
      </c>
      <c r="R337">
        <v>1120</v>
      </c>
      <c r="S337">
        <v>103</v>
      </c>
    </row>
    <row r="338" spans="1:19" x14ac:dyDescent="0.4">
      <c r="A338" t="s">
        <v>67</v>
      </c>
      <c r="B338">
        <v>202112</v>
      </c>
      <c r="C338">
        <v>15300</v>
      </c>
      <c r="D338" t="s">
        <v>62</v>
      </c>
      <c r="E338" t="s">
        <v>63</v>
      </c>
      <c r="F338" t="s">
        <v>63</v>
      </c>
      <c r="G338" t="s">
        <v>63</v>
      </c>
      <c r="H338" t="s">
        <v>63</v>
      </c>
      <c r="I338">
        <v>1530</v>
      </c>
      <c r="J338" t="s">
        <v>68</v>
      </c>
      <c r="K338" t="s">
        <v>68</v>
      </c>
      <c r="L338">
        <v>0</v>
      </c>
      <c r="M338">
        <v>0</v>
      </c>
      <c r="N338">
        <v>0</v>
      </c>
      <c r="O338">
        <v>0</v>
      </c>
      <c r="P338">
        <v>1400</v>
      </c>
      <c r="Q338">
        <v>1700</v>
      </c>
      <c r="R338" t="s">
        <v>63</v>
      </c>
      <c r="S338" t="s">
        <v>63</v>
      </c>
    </row>
    <row r="339" spans="1:19" x14ac:dyDescent="0.4">
      <c r="A339" t="s">
        <v>67</v>
      </c>
      <c r="B339">
        <v>202112</v>
      </c>
      <c r="C339">
        <v>15300</v>
      </c>
      <c r="D339" t="s">
        <v>64</v>
      </c>
      <c r="E339">
        <v>170</v>
      </c>
      <c r="F339">
        <v>170</v>
      </c>
      <c r="G339">
        <v>170</v>
      </c>
      <c r="H339">
        <v>170</v>
      </c>
      <c r="I339">
        <v>170</v>
      </c>
      <c r="J339" t="s">
        <v>91</v>
      </c>
      <c r="K339" t="s">
        <v>489</v>
      </c>
      <c r="L339">
        <v>0</v>
      </c>
      <c r="M339">
        <v>1</v>
      </c>
      <c r="N339">
        <v>1</v>
      </c>
      <c r="O339">
        <v>17</v>
      </c>
      <c r="P339">
        <v>158</v>
      </c>
      <c r="Q339">
        <v>189</v>
      </c>
      <c r="R339">
        <v>346</v>
      </c>
      <c r="S339">
        <v>170</v>
      </c>
    </row>
    <row r="340" spans="1:19" x14ac:dyDescent="0.4">
      <c r="A340" t="s">
        <v>67</v>
      </c>
      <c r="B340">
        <v>202112</v>
      </c>
      <c r="C340">
        <v>15400</v>
      </c>
      <c r="D340" t="s">
        <v>62</v>
      </c>
      <c r="E340" t="s">
        <v>63</v>
      </c>
      <c r="F340" t="s">
        <v>63</v>
      </c>
      <c r="G340" t="s">
        <v>63</v>
      </c>
      <c r="H340" t="s">
        <v>63</v>
      </c>
      <c r="I340">
        <v>1440</v>
      </c>
      <c r="J340" t="s">
        <v>68</v>
      </c>
      <c r="K340" t="s">
        <v>68</v>
      </c>
      <c r="L340">
        <v>0</v>
      </c>
      <c r="M340">
        <v>0</v>
      </c>
      <c r="N340">
        <v>0</v>
      </c>
      <c r="O340">
        <v>48</v>
      </c>
      <c r="P340">
        <v>1310</v>
      </c>
      <c r="Q340">
        <v>1620</v>
      </c>
      <c r="R340">
        <v>2270</v>
      </c>
      <c r="S340">
        <v>740</v>
      </c>
    </row>
    <row r="341" spans="1:19" x14ac:dyDescent="0.4">
      <c r="A341" t="s">
        <v>67</v>
      </c>
      <c r="B341">
        <v>202112</v>
      </c>
      <c r="C341">
        <v>15400</v>
      </c>
      <c r="D341" t="s">
        <v>64</v>
      </c>
      <c r="E341">
        <v>180</v>
      </c>
      <c r="F341">
        <v>180</v>
      </c>
      <c r="G341">
        <v>179</v>
      </c>
      <c r="H341">
        <v>179</v>
      </c>
      <c r="I341">
        <v>179</v>
      </c>
      <c r="J341" t="s">
        <v>91</v>
      </c>
      <c r="K341" t="s">
        <v>490</v>
      </c>
      <c r="L341">
        <v>4</v>
      </c>
      <c r="M341">
        <v>46</v>
      </c>
      <c r="N341">
        <v>50</v>
      </c>
      <c r="O341">
        <v>696</v>
      </c>
      <c r="P341">
        <v>173</v>
      </c>
      <c r="Q341">
        <v>204</v>
      </c>
      <c r="R341">
        <v>1350</v>
      </c>
      <c r="S341">
        <v>175</v>
      </c>
    </row>
    <row r="342" spans="1:19" x14ac:dyDescent="0.4">
      <c r="A342" t="s">
        <v>67</v>
      </c>
      <c r="B342">
        <v>202112</v>
      </c>
      <c r="C342">
        <v>15500</v>
      </c>
      <c r="D342" t="s">
        <v>62</v>
      </c>
      <c r="E342" t="s">
        <v>63</v>
      </c>
      <c r="F342" t="s">
        <v>63</v>
      </c>
      <c r="G342" t="s">
        <v>63</v>
      </c>
      <c r="H342" t="s">
        <v>63</v>
      </c>
      <c r="I342">
        <v>1360</v>
      </c>
      <c r="J342" t="s">
        <v>68</v>
      </c>
      <c r="K342" s="28" t="s">
        <v>68</v>
      </c>
      <c r="L342">
        <v>0</v>
      </c>
      <c r="M342">
        <v>0</v>
      </c>
      <c r="N342">
        <v>0</v>
      </c>
      <c r="O342">
        <v>0</v>
      </c>
      <c r="P342">
        <v>1230</v>
      </c>
      <c r="Q342">
        <v>1530</v>
      </c>
      <c r="R342" t="s">
        <v>63</v>
      </c>
      <c r="S342" t="s">
        <v>63</v>
      </c>
    </row>
    <row r="343" spans="1:19" x14ac:dyDescent="0.4">
      <c r="A343" t="s">
        <v>67</v>
      </c>
      <c r="B343">
        <v>202112</v>
      </c>
      <c r="C343">
        <v>15500</v>
      </c>
      <c r="D343" t="s">
        <v>64</v>
      </c>
      <c r="E343" t="s">
        <v>63</v>
      </c>
      <c r="F343" t="s">
        <v>63</v>
      </c>
      <c r="G343" t="s">
        <v>63</v>
      </c>
      <c r="H343" t="s">
        <v>63</v>
      </c>
      <c r="I343">
        <v>196</v>
      </c>
      <c r="J343" t="s">
        <v>68</v>
      </c>
      <c r="K343" t="s">
        <v>68</v>
      </c>
      <c r="L343">
        <v>0</v>
      </c>
      <c r="M343">
        <v>0</v>
      </c>
      <c r="N343">
        <v>0</v>
      </c>
      <c r="O343">
        <v>587</v>
      </c>
      <c r="P343">
        <v>188</v>
      </c>
      <c r="Q343">
        <v>219</v>
      </c>
      <c r="R343">
        <v>363</v>
      </c>
      <c r="S343">
        <v>188</v>
      </c>
    </row>
    <row r="344" spans="1:19" x14ac:dyDescent="0.4">
      <c r="A344" t="s">
        <v>67</v>
      </c>
      <c r="B344">
        <v>202112</v>
      </c>
      <c r="C344">
        <v>15600</v>
      </c>
      <c r="D344" t="s">
        <v>62</v>
      </c>
      <c r="E344" t="s">
        <v>63</v>
      </c>
      <c r="F344" t="s">
        <v>63</v>
      </c>
      <c r="G344" t="s">
        <v>63</v>
      </c>
      <c r="H344" t="s">
        <v>63</v>
      </c>
      <c r="I344">
        <v>1280</v>
      </c>
      <c r="J344" t="s">
        <v>68</v>
      </c>
      <c r="K344" t="s">
        <v>68</v>
      </c>
      <c r="L344">
        <v>0</v>
      </c>
      <c r="M344">
        <v>0</v>
      </c>
      <c r="N344">
        <v>0</v>
      </c>
      <c r="O344">
        <v>35</v>
      </c>
      <c r="P344">
        <v>1140</v>
      </c>
      <c r="Q344">
        <v>1450</v>
      </c>
      <c r="R344">
        <v>2190</v>
      </c>
      <c r="S344">
        <v>620</v>
      </c>
    </row>
    <row r="345" spans="1:19" x14ac:dyDescent="0.4">
      <c r="A345" t="s">
        <v>67</v>
      </c>
      <c r="B345">
        <v>202112</v>
      </c>
      <c r="C345">
        <v>15600</v>
      </c>
      <c r="D345" t="s">
        <v>64</v>
      </c>
      <c r="E345">
        <v>202</v>
      </c>
      <c r="F345">
        <v>202</v>
      </c>
      <c r="G345">
        <v>202</v>
      </c>
      <c r="H345">
        <v>202</v>
      </c>
      <c r="I345">
        <v>215</v>
      </c>
      <c r="J345" t="s">
        <v>113</v>
      </c>
      <c r="K345" t="s">
        <v>491</v>
      </c>
      <c r="L345">
        <v>0</v>
      </c>
      <c r="M345">
        <v>1</v>
      </c>
      <c r="N345">
        <v>1</v>
      </c>
      <c r="O345">
        <v>273</v>
      </c>
      <c r="P345">
        <v>206</v>
      </c>
      <c r="Q345">
        <v>236</v>
      </c>
      <c r="R345">
        <v>1680</v>
      </c>
      <c r="S345">
        <v>196</v>
      </c>
    </row>
    <row r="346" spans="1:19" x14ac:dyDescent="0.4">
      <c r="A346" t="s">
        <v>67</v>
      </c>
      <c r="B346">
        <v>202112</v>
      </c>
      <c r="C346">
        <v>15700</v>
      </c>
      <c r="D346" t="s">
        <v>62</v>
      </c>
      <c r="E346" t="s">
        <v>63</v>
      </c>
      <c r="F346" t="s">
        <v>63</v>
      </c>
      <c r="G346" t="s">
        <v>63</v>
      </c>
      <c r="H346" t="s">
        <v>63</v>
      </c>
      <c r="I346">
        <v>1200</v>
      </c>
      <c r="J346" t="s">
        <v>68</v>
      </c>
      <c r="K346" t="s">
        <v>68</v>
      </c>
      <c r="L346">
        <v>0</v>
      </c>
      <c r="M346">
        <v>0</v>
      </c>
      <c r="N346">
        <v>0</v>
      </c>
      <c r="O346">
        <v>0</v>
      </c>
      <c r="P346">
        <v>1070</v>
      </c>
      <c r="Q346">
        <v>1340</v>
      </c>
      <c r="R346" t="s">
        <v>63</v>
      </c>
      <c r="S346" t="s">
        <v>63</v>
      </c>
    </row>
    <row r="347" spans="1:19" x14ac:dyDescent="0.4">
      <c r="A347" t="s">
        <v>67</v>
      </c>
      <c r="B347">
        <v>202112</v>
      </c>
      <c r="C347">
        <v>15700</v>
      </c>
      <c r="D347" t="s">
        <v>64</v>
      </c>
      <c r="E347" t="s">
        <v>63</v>
      </c>
      <c r="F347" t="s">
        <v>63</v>
      </c>
      <c r="G347" t="s">
        <v>63</v>
      </c>
      <c r="H347" t="s">
        <v>63</v>
      </c>
      <c r="I347">
        <v>236</v>
      </c>
      <c r="J347" t="s">
        <v>68</v>
      </c>
      <c r="K347" t="s">
        <v>68</v>
      </c>
      <c r="L347">
        <v>2</v>
      </c>
      <c r="M347">
        <v>0</v>
      </c>
      <c r="N347">
        <v>2</v>
      </c>
      <c r="O347">
        <v>20</v>
      </c>
      <c r="P347">
        <v>121</v>
      </c>
      <c r="Q347">
        <v>378</v>
      </c>
      <c r="R347">
        <v>432</v>
      </c>
      <c r="S347">
        <v>203</v>
      </c>
    </row>
    <row r="348" spans="1:19" x14ac:dyDescent="0.4">
      <c r="A348" t="s">
        <v>67</v>
      </c>
      <c r="B348">
        <v>202112</v>
      </c>
      <c r="C348">
        <v>15800</v>
      </c>
      <c r="D348" t="s">
        <v>62</v>
      </c>
      <c r="E348" t="s">
        <v>63</v>
      </c>
      <c r="F348" t="s">
        <v>63</v>
      </c>
      <c r="G348" t="s">
        <v>63</v>
      </c>
      <c r="H348" t="s">
        <v>63</v>
      </c>
      <c r="I348">
        <v>1120</v>
      </c>
      <c r="J348" t="s">
        <v>68</v>
      </c>
      <c r="K348" t="s">
        <v>68</v>
      </c>
      <c r="L348">
        <v>0</v>
      </c>
      <c r="M348">
        <v>0</v>
      </c>
      <c r="N348">
        <v>0</v>
      </c>
      <c r="O348">
        <v>44</v>
      </c>
      <c r="P348">
        <v>1100</v>
      </c>
      <c r="Q348">
        <v>1260</v>
      </c>
      <c r="R348">
        <v>1930</v>
      </c>
      <c r="S348">
        <v>600</v>
      </c>
    </row>
    <row r="349" spans="1:19" x14ac:dyDescent="0.4">
      <c r="A349" t="s">
        <v>67</v>
      </c>
      <c r="B349">
        <v>202112</v>
      </c>
      <c r="C349">
        <v>15800</v>
      </c>
      <c r="D349" t="s">
        <v>64</v>
      </c>
      <c r="E349">
        <v>239</v>
      </c>
      <c r="F349">
        <v>258</v>
      </c>
      <c r="G349">
        <v>236</v>
      </c>
      <c r="H349">
        <v>258</v>
      </c>
      <c r="I349">
        <v>258</v>
      </c>
      <c r="J349" t="s">
        <v>135</v>
      </c>
      <c r="K349" t="s">
        <v>492</v>
      </c>
      <c r="L349">
        <v>0</v>
      </c>
      <c r="M349">
        <v>11</v>
      </c>
      <c r="N349">
        <v>11</v>
      </c>
      <c r="O349">
        <v>417</v>
      </c>
      <c r="P349">
        <v>245</v>
      </c>
      <c r="Q349">
        <v>399</v>
      </c>
      <c r="R349">
        <v>1620</v>
      </c>
      <c r="S349">
        <v>215</v>
      </c>
    </row>
    <row r="350" spans="1:19" x14ac:dyDescent="0.4">
      <c r="A350" t="s">
        <v>67</v>
      </c>
      <c r="B350">
        <v>202112</v>
      </c>
      <c r="C350">
        <v>15900</v>
      </c>
      <c r="D350" t="s">
        <v>62</v>
      </c>
      <c r="E350" t="s">
        <v>63</v>
      </c>
      <c r="F350" t="s">
        <v>63</v>
      </c>
      <c r="G350" t="s">
        <v>63</v>
      </c>
      <c r="H350" t="s">
        <v>63</v>
      </c>
      <c r="I350">
        <v>1040</v>
      </c>
      <c r="J350" t="s">
        <v>68</v>
      </c>
      <c r="K350" t="s">
        <v>68</v>
      </c>
      <c r="L350">
        <v>0</v>
      </c>
      <c r="M350">
        <v>0</v>
      </c>
      <c r="N350">
        <v>0</v>
      </c>
      <c r="O350">
        <v>3</v>
      </c>
      <c r="P350">
        <v>1020</v>
      </c>
      <c r="Q350">
        <v>1070</v>
      </c>
      <c r="R350">
        <v>1040</v>
      </c>
      <c r="S350">
        <v>820</v>
      </c>
    </row>
    <row r="351" spans="1:19" x14ac:dyDescent="0.4">
      <c r="A351" t="s">
        <v>67</v>
      </c>
      <c r="B351">
        <v>202112</v>
      </c>
      <c r="C351">
        <v>15900</v>
      </c>
      <c r="D351" t="s">
        <v>64</v>
      </c>
      <c r="E351">
        <v>264</v>
      </c>
      <c r="F351">
        <v>276</v>
      </c>
      <c r="G351">
        <v>264</v>
      </c>
      <c r="H351">
        <v>276</v>
      </c>
      <c r="I351">
        <v>276</v>
      </c>
      <c r="J351" t="s">
        <v>82</v>
      </c>
      <c r="K351" t="s">
        <v>493</v>
      </c>
      <c r="L351">
        <v>0</v>
      </c>
      <c r="M351">
        <v>2</v>
      </c>
      <c r="N351">
        <v>2</v>
      </c>
      <c r="O351">
        <v>39</v>
      </c>
      <c r="P351">
        <v>264</v>
      </c>
      <c r="Q351">
        <v>295</v>
      </c>
      <c r="R351">
        <v>600</v>
      </c>
      <c r="S351">
        <v>264</v>
      </c>
    </row>
    <row r="352" spans="1:19" x14ac:dyDescent="0.4">
      <c r="A352" t="s">
        <v>67</v>
      </c>
      <c r="B352">
        <v>202112</v>
      </c>
      <c r="C352">
        <v>16000</v>
      </c>
      <c r="D352" t="s">
        <v>62</v>
      </c>
      <c r="E352" t="s">
        <v>63</v>
      </c>
      <c r="F352" t="s">
        <v>63</v>
      </c>
      <c r="G352" t="s">
        <v>63</v>
      </c>
      <c r="H352" t="s">
        <v>63</v>
      </c>
      <c r="I352">
        <v>965</v>
      </c>
      <c r="J352" t="s">
        <v>68</v>
      </c>
      <c r="K352" t="s">
        <v>68</v>
      </c>
      <c r="L352">
        <v>0</v>
      </c>
      <c r="M352">
        <v>0</v>
      </c>
      <c r="N352">
        <v>0</v>
      </c>
      <c r="O352">
        <v>135</v>
      </c>
      <c r="P352">
        <v>945</v>
      </c>
      <c r="Q352">
        <v>985</v>
      </c>
      <c r="R352">
        <v>1790</v>
      </c>
      <c r="S352">
        <v>470</v>
      </c>
    </row>
    <row r="353" spans="1:19" x14ac:dyDescent="0.4">
      <c r="A353" t="s">
        <v>67</v>
      </c>
      <c r="B353">
        <v>202112</v>
      </c>
      <c r="C353">
        <v>16000</v>
      </c>
      <c r="D353" t="s">
        <v>64</v>
      </c>
      <c r="E353">
        <v>285</v>
      </c>
      <c r="F353">
        <v>286</v>
      </c>
      <c r="G353">
        <v>272</v>
      </c>
      <c r="H353">
        <v>284</v>
      </c>
      <c r="I353">
        <v>303</v>
      </c>
      <c r="J353" t="s">
        <v>115</v>
      </c>
      <c r="K353" t="s">
        <v>494</v>
      </c>
      <c r="L353">
        <v>0</v>
      </c>
      <c r="M353">
        <v>11</v>
      </c>
      <c r="N353">
        <v>11</v>
      </c>
      <c r="O353">
        <v>320</v>
      </c>
      <c r="P353">
        <v>289</v>
      </c>
      <c r="Q353">
        <v>321</v>
      </c>
      <c r="R353">
        <v>2000</v>
      </c>
      <c r="S353">
        <v>258</v>
      </c>
    </row>
    <row r="354" spans="1:19" x14ac:dyDescent="0.4">
      <c r="A354" t="s">
        <v>67</v>
      </c>
      <c r="B354">
        <v>202112</v>
      </c>
      <c r="C354">
        <v>16100</v>
      </c>
      <c r="D354" t="s">
        <v>62</v>
      </c>
      <c r="E354" t="s">
        <v>63</v>
      </c>
      <c r="F354" t="s">
        <v>63</v>
      </c>
      <c r="G354" t="s">
        <v>63</v>
      </c>
      <c r="H354" t="s">
        <v>63</v>
      </c>
      <c r="I354">
        <v>890</v>
      </c>
      <c r="J354" t="s">
        <v>68</v>
      </c>
      <c r="K354" t="s">
        <v>68</v>
      </c>
      <c r="L354">
        <v>0</v>
      </c>
      <c r="M354">
        <v>0</v>
      </c>
      <c r="N354">
        <v>0</v>
      </c>
      <c r="O354">
        <v>9</v>
      </c>
      <c r="P354">
        <v>870</v>
      </c>
      <c r="Q354">
        <v>910</v>
      </c>
      <c r="R354">
        <v>940</v>
      </c>
      <c r="S354">
        <v>735</v>
      </c>
    </row>
    <row r="355" spans="1:19" x14ac:dyDescent="0.4">
      <c r="A355" t="s">
        <v>67</v>
      </c>
      <c r="B355">
        <v>202112</v>
      </c>
      <c r="C355">
        <v>16100</v>
      </c>
      <c r="D355" t="s">
        <v>64</v>
      </c>
      <c r="E355">
        <v>333</v>
      </c>
      <c r="F355">
        <v>333</v>
      </c>
      <c r="G355">
        <v>333</v>
      </c>
      <c r="H355">
        <v>333</v>
      </c>
      <c r="I355">
        <v>333</v>
      </c>
      <c r="J355" t="s">
        <v>275</v>
      </c>
      <c r="K355" t="s">
        <v>495</v>
      </c>
      <c r="L355">
        <v>0</v>
      </c>
      <c r="M355">
        <v>2</v>
      </c>
      <c r="N355">
        <v>2</v>
      </c>
      <c r="O355">
        <v>11</v>
      </c>
      <c r="P355">
        <v>188</v>
      </c>
      <c r="Q355">
        <v>468</v>
      </c>
      <c r="R355">
        <v>680</v>
      </c>
      <c r="S355">
        <v>323</v>
      </c>
    </row>
    <row r="356" spans="1:19" x14ac:dyDescent="0.4">
      <c r="A356" t="s">
        <v>67</v>
      </c>
      <c r="B356">
        <v>202112</v>
      </c>
      <c r="C356">
        <v>16200</v>
      </c>
      <c r="D356" t="s">
        <v>62</v>
      </c>
      <c r="E356">
        <v>840</v>
      </c>
      <c r="F356">
        <v>840</v>
      </c>
      <c r="G356">
        <v>840</v>
      </c>
      <c r="H356">
        <v>840</v>
      </c>
      <c r="I356">
        <v>810</v>
      </c>
      <c r="J356" t="s">
        <v>83</v>
      </c>
      <c r="K356" t="s">
        <v>496</v>
      </c>
      <c r="L356">
        <v>0</v>
      </c>
      <c r="M356">
        <v>1</v>
      </c>
      <c r="N356">
        <v>1</v>
      </c>
      <c r="O356">
        <v>36</v>
      </c>
      <c r="P356">
        <v>800</v>
      </c>
      <c r="Q356">
        <v>845</v>
      </c>
      <c r="R356">
        <v>1410</v>
      </c>
      <c r="S356">
        <v>535</v>
      </c>
    </row>
    <row r="357" spans="1:19" x14ac:dyDescent="0.4">
      <c r="A357" t="s">
        <v>67</v>
      </c>
      <c r="B357">
        <v>202112</v>
      </c>
      <c r="C357">
        <v>16200</v>
      </c>
      <c r="D357" t="s">
        <v>64</v>
      </c>
      <c r="E357">
        <v>330</v>
      </c>
      <c r="F357">
        <v>350</v>
      </c>
      <c r="G357">
        <v>321</v>
      </c>
      <c r="H357">
        <v>350</v>
      </c>
      <c r="I357">
        <v>350</v>
      </c>
      <c r="J357" t="s">
        <v>135</v>
      </c>
      <c r="K357" t="s">
        <v>497</v>
      </c>
      <c r="L357">
        <v>20</v>
      </c>
      <c r="M357">
        <v>6</v>
      </c>
      <c r="N357">
        <v>26</v>
      </c>
      <c r="O357">
        <v>6167</v>
      </c>
      <c r="P357">
        <v>342</v>
      </c>
      <c r="Q357">
        <v>372</v>
      </c>
      <c r="R357">
        <v>2000</v>
      </c>
      <c r="S357">
        <v>285</v>
      </c>
    </row>
    <row r="358" spans="1:19" x14ac:dyDescent="0.4">
      <c r="A358" t="s">
        <v>67</v>
      </c>
      <c r="B358">
        <v>202112</v>
      </c>
      <c r="C358">
        <v>16300</v>
      </c>
      <c r="D358" t="s">
        <v>62</v>
      </c>
      <c r="E358" t="s">
        <v>63</v>
      </c>
      <c r="F358" t="s">
        <v>63</v>
      </c>
      <c r="G358" t="s">
        <v>63</v>
      </c>
      <c r="H358" t="s">
        <v>63</v>
      </c>
      <c r="I358">
        <v>745</v>
      </c>
      <c r="J358" t="s">
        <v>68</v>
      </c>
      <c r="K358" t="s">
        <v>68</v>
      </c>
      <c r="L358">
        <v>0</v>
      </c>
      <c r="M358">
        <v>0</v>
      </c>
      <c r="N358">
        <v>0</v>
      </c>
      <c r="O358">
        <v>9</v>
      </c>
      <c r="P358">
        <v>730</v>
      </c>
      <c r="Q358">
        <v>775</v>
      </c>
      <c r="R358">
        <v>855</v>
      </c>
      <c r="S358">
        <v>570</v>
      </c>
    </row>
    <row r="359" spans="1:19" x14ac:dyDescent="0.4">
      <c r="A359" t="s">
        <v>67</v>
      </c>
      <c r="B359">
        <v>202112</v>
      </c>
      <c r="C359">
        <v>16300</v>
      </c>
      <c r="D359" t="s">
        <v>64</v>
      </c>
      <c r="E359" t="s">
        <v>63</v>
      </c>
      <c r="F359" t="s">
        <v>63</v>
      </c>
      <c r="G359" t="s">
        <v>63</v>
      </c>
      <c r="H359" t="s">
        <v>63</v>
      </c>
      <c r="I359">
        <v>385</v>
      </c>
      <c r="J359" t="s">
        <v>68</v>
      </c>
      <c r="K359" t="s">
        <v>68</v>
      </c>
      <c r="L359">
        <v>0</v>
      </c>
      <c r="M359">
        <v>0</v>
      </c>
      <c r="N359">
        <v>0</v>
      </c>
      <c r="O359">
        <v>18</v>
      </c>
      <c r="P359">
        <v>372</v>
      </c>
      <c r="Q359">
        <v>405</v>
      </c>
      <c r="R359">
        <v>620</v>
      </c>
      <c r="S359">
        <v>386</v>
      </c>
    </row>
    <row r="360" spans="1:19" x14ac:dyDescent="0.4">
      <c r="A360" t="s">
        <v>67</v>
      </c>
      <c r="B360">
        <v>202112</v>
      </c>
      <c r="C360">
        <v>16400</v>
      </c>
      <c r="D360" t="s">
        <v>62</v>
      </c>
      <c r="E360" t="s">
        <v>63</v>
      </c>
      <c r="F360" t="s">
        <v>63</v>
      </c>
      <c r="G360" t="s">
        <v>63</v>
      </c>
      <c r="H360" t="s">
        <v>63</v>
      </c>
      <c r="I360">
        <v>685</v>
      </c>
      <c r="J360" t="s">
        <v>68</v>
      </c>
      <c r="K360" t="s">
        <v>68</v>
      </c>
      <c r="L360">
        <v>1</v>
      </c>
      <c r="M360">
        <v>0</v>
      </c>
      <c r="N360">
        <v>1</v>
      </c>
      <c r="O360">
        <v>35</v>
      </c>
      <c r="P360">
        <v>665</v>
      </c>
      <c r="Q360">
        <v>700</v>
      </c>
      <c r="R360">
        <v>1480</v>
      </c>
      <c r="S360">
        <v>243</v>
      </c>
    </row>
    <row r="361" spans="1:19" x14ac:dyDescent="0.4">
      <c r="A361" t="s">
        <v>67</v>
      </c>
      <c r="B361">
        <v>202112</v>
      </c>
      <c r="C361">
        <v>16400</v>
      </c>
      <c r="D361" t="s">
        <v>64</v>
      </c>
      <c r="E361">
        <v>403</v>
      </c>
      <c r="F361">
        <v>423</v>
      </c>
      <c r="G361">
        <v>400</v>
      </c>
      <c r="H361">
        <v>423</v>
      </c>
      <c r="I361">
        <v>423</v>
      </c>
      <c r="J361" t="s">
        <v>112</v>
      </c>
      <c r="K361" t="s">
        <v>498</v>
      </c>
      <c r="L361">
        <v>21</v>
      </c>
      <c r="M361">
        <v>24</v>
      </c>
      <c r="N361">
        <v>45</v>
      </c>
      <c r="O361">
        <v>4225</v>
      </c>
      <c r="P361">
        <v>405</v>
      </c>
      <c r="Q361">
        <v>438</v>
      </c>
      <c r="R361">
        <v>2000</v>
      </c>
      <c r="S361">
        <v>352</v>
      </c>
    </row>
    <row r="362" spans="1:19" x14ac:dyDescent="0.4">
      <c r="A362" t="s">
        <v>67</v>
      </c>
      <c r="B362">
        <v>202112</v>
      </c>
      <c r="C362">
        <v>16500</v>
      </c>
      <c r="D362" t="s">
        <v>62</v>
      </c>
      <c r="E362" t="s">
        <v>63</v>
      </c>
      <c r="F362" t="s">
        <v>63</v>
      </c>
      <c r="G362" t="s">
        <v>63</v>
      </c>
      <c r="H362" t="s">
        <v>63</v>
      </c>
      <c r="I362">
        <v>610</v>
      </c>
      <c r="J362" t="s">
        <v>68</v>
      </c>
      <c r="K362" t="s">
        <v>68</v>
      </c>
      <c r="L362">
        <v>0</v>
      </c>
      <c r="M362">
        <v>0</v>
      </c>
      <c r="N362">
        <v>0</v>
      </c>
      <c r="O362">
        <v>22</v>
      </c>
      <c r="P362">
        <v>600</v>
      </c>
      <c r="Q362">
        <v>635</v>
      </c>
      <c r="R362">
        <v>865</v>
      </c>
      <c r="S362">
        <v>480</v>
      </c>
    </row>
    <row r="363" spans="1:19" x14ac:dyDescent="0.4">
      <c r="A363" t="s">
        <v>67</v>
      </c>
      <c r="B363">
        <v>202112</v>
      </c>
      <c r="C363">
        <v>16500</v>
      </c>
      <c r="D363" t="s">
        <v>64</v>
      </c>
      <c r="E363">
        <v>430</v>
      </c>
      <c r="F363">
        <v>450</v>
      </c>
      <c r="G363">
        <v>430</v>
      </c>
      <c r="H363">
        <v>450</v>
      </c>
      <c r="I363">
        <v>450</v>
      </c>
      <c r="J363" t="s">
        <v>85</v>
      </c>
      <c r="K363" t="s">
        <v>499</v>
      </c>
      <c r="L363">
        <v>0</v>
      </c>
      <c r="M363">
        <v>19</v>
      </c>
      <c r="N363">
        <v>19</v>
      </c>
      <c r="O363">
        <v>44</v>
      </c>
      <c r="P363">
        <v>360</v>
      </c>
      <c r="Q363">
        <v>469</v>
      </c>
      <c r="R363">
        <v>755</v>
      </c>
      <c r="S363">
        <v>430</v>
      </c>
    </row>
    <row r="364" spans="1:19" x14ac:dyDescent="0.4">
      <c r="A364" t="s">
        <v>67</v>
      </c>
      <c r="B364">
        <v>202112</v>
      </c>
      <c r="C364">
        <v>16600</v>
      </c>
      <c r="D364" t="s">
        <v>62</v>
      </c>
      <c r="E364" t="s">
        <v>63</v>
      </c>
      <c r="F364" t="s">
        <v>63</v>
      </c>
      <c r="G364" t="s">
        <v>63</v>
      </c>
      <c r="H364" t="s">
        <v>63</v>
      </c>
      <c r="I364">
        <v>550</v>
      </c>
      <c r="J364" t="s">
        <v>68</v>
      </c>
      <c r="K364" t="s">
        <v>68</v>
      </c>
      <c r="L364">
        <v>0</v>
      </c>
      <c r="M364">
        <v>0</v>
      </c>
      <c r="N364">
        <v>0</v>
      </c>
      <c r="O364">
        <v>39</v>
      </c>
      <c r="P364">
        <v>540</v>
      </c>
      <c r="Q364">
        <v>575</v>
      </c>
      <c r="R364">
        <v>1350</v>
      </c>
      <c r="S364">
        <v>332</v>
      </c>
    </row>
    <row r="365" spans="1:19" x14ac:dyDescent="0.4">
      <c r="A365" t="s">
        <v>67</v>
      </c>
      <c r="B365">
        <v>202112</v>
      </c>
      <c r="C365">
        <v>16600</v>
      </c>
      <c r="D365" t="s">
        <v>64</v>
      </c>
      <c r="E365">
        <v>467</v>
      </c>
      <c r="F365">
        <v>467</v>
      </c>
      <c r="G365">
        <v>467</v>
      </c>
      <c r="H365">
        <v>467</v>
      </c>
      <c r="I365">
        <v>490</v>
      </c>
      <c r="J365" t="s">
        <v>87</v>
      </c>
      <c r="K365" t="s">
        <v>500</v>
      </c>
      <c r="L365">
        <v>0</v>
      </c>
      <c r="M365">
        <v>1</v>
      </c>
      <c r="N365">
        <v>1</v>
      </c>
      <c r="O365">
        <v>40</v>
      </c>
      <c r="P365">
        <v>479</v>
      </c>
      <c r="Q365">
        <v>515</v>
      </c>
      <c r="R365">
        <v>2240</v>
      </c>
      <c r="S365">
        <v>375</v>
      </c>
    </row>
    <row r="366" spans="1:19" x14ac:dyDescent="0.4">
      <c r="A366" t="s">
        <v>67</v>
      </c>
      <c r="B366">
        <v>202112</v>
      </c>
      <c r="C366">
        <v>16700</v>
      </c>
      <c r="D366" t="s">
        <v>62</v>
      </c>
      <c r="E366">
        <v>545</v>
      </c>
      <c r="F366">
        <v>545</v>
      </c>
      <c r="G366">
        <v>545</v>
      </c>
      <c r="H366">
        <v>545</v>
      </c>
      <c r="I366">
        <v>494</v>
      </c>
      <c r="J366" t="s">
        <v>84</v>
      </c>
      <c r="K366" t="s">
        <v>501</v>
      </c>
      <c r="L366">
        <v>1</v>
      </c>
      <c r="M366">
        <v>1</v>
      </c>
      <c r="N366">
        <v>2</v>
      </c>
      <c r="O366">
        <v>55</v>
      </c>
      <c r="P366">
        <v>484</v>
      </c>
      <c r="Q366">
        <v>520</v>
      </c>
      <c r="R366">
        <v>685</v>
      </c>
      <c r="S366">
        <v>360</v>
      </c>
    </row>
    <row r="367" spans="1:19" x14ac:dyDescent="0.4">
      <c r="A367" t="s">
        <v>67</v>
      </c>
      <c r="B367">
        <v>202112</v>
      </c>
      <c r="C367">
        <v>16700</v>
      </c>
      <c r="D367" t="s">
        <v>64</v>
      </c>
      <c r="E367">
        <v>500</v>
      </c>
      <c r="F367">
        <v>525</v>
      </c>
      <c r="G367">
        <v>500</v>
      </c>
      <c r="H367">
        <v>525</v>
      </c>
      <c r="I367">
        <v>525</v>
      </c>
      <c r="J367" t="s">
        <v>84</v>
      </c>
      <c r="K367" t="s">
        <v>300</v>
      </c>
      <c r="L367">
        <v>1</v>
      </c>
      <c r="M367">
        <v>3</v>
      </c>
      <c r="N367">
        <v>4</v>
      </c>
      <c r="O367">
        <v>5985</v>
      </c>
      <c r="P367">
        <v>520</v>
      </c>
      <c r="Q367">
        <v>560</v>
      </c>
      <c r="R367">
        <v>825</v>
      </c>
      <c r="S367">
        <v>500</v>
      </c>
    </row>
    <row r="368" spans="1:19" x14ac:dyDescent="0.4">
      <c r="A368" t="s">
        <v>67</v>
      </c>
      <c r="B368">
        <v>202112</v>
      </c>
      <c r="C368">
        <v>16800</v>
      </c>
      <c r="D368" t="s">
        <v>62</v>
      </c>
      <c r="E368">
        <v>490</v>
      </c>
      <c r="F368">
        <v>490</v>
      </c>
      <c r="G368">
        <v>440</v>
      </c>
      <c r="H368">
        <v>440</v>
      </c>
      <c r="I368">
        <v>440</v>
      </c>
      <c r="J368" t="s">
        <v>427</v>
      </c>
      <c r="K368" t="s">
        <v>502</v>
      </c>
      <c r="L368">
        <v>0</v>
      </c>
      <c r="M368">
        <v>5</v>
      </c>
      <c r="N368">
        <v>5</v>
      </c>
      <c r="O368">
        <v>47</v>
      </c>
      <c r="P368">
        <v>429</v>
      </c>
      <c r="Q368">
        <v>464</v>
      </c>
      <c r="R368">
        <v>1220</v>
      </c>
      <c r="S368">
        <v>278</v>
      </c>
    </row>
    <row r="369" spans="1:19" x14ac:dyDescent="0.4">
      <c r="A369" t="s">
        <v>67</v>
      </c>
      <c r="B369">
        <v>202112</v>
      </c>
      <c r="C369">
        <v>16800</v>
      </c>
      <c r="D369" t="s">
        <v>64</v>
      </c>
      <c r="E369" t="s">
        <v>63</v>
      </c>
      <c r="F369" t="s">
        <v>63</v>
      </c>
      <c r="G369" t="s">
        <v>63</v>
      </c>
      <c r="H369" t="s">
        <v>63</v>
      </c>
      <c r="I369">
        <v>585</v>
      </c>
      <c r="J369" t="s">
        <v>68</v>
      </c>
      <c r="K369" t="s">
        <v>68</v>
      </c>
      <c r="L369">
        <v>0</v>
      </c>
      <c r="M369">
        <v>0</v>
      </c>
      <c r="N369">
        <v>0</v>
      </c>
      <c r="O369">
        <v>56</v>
      </c>
      <c r="P369">
        <v>565</v>
      </c>
      <c r="Q369">
        <v>605</v>
      </c>
      <c r="R369">
        <v>2370</v>
      </c>
      <c r="S369">
        <v>425</v>
      </c>
    </row>
    <row r="370" spans="1:19" x14ac:dyDescent="0.4">
      <c r="A370" t="s">
        <v>67</v>
      </c>
      <c r="B370">
        <v>202112</v>
      </c>
      <c r="C370">
        <v>16900</v>
      </c>
      <c r="D370" t="s">
        <v>62</v>
      </c>
      <c r="E370">
        <v>402</v>
      </c>
      <c r="F370">
        <v>402</v>
      </c>
      <c r="G370">
        <v>396</v>
      </c>
      <c r="H370">
        <v>396</v>
      </c>
      <c r="I370">
        <v>396</v>
      </c>
      <c r="J370" t="s">
        <v>83</v>
      </c>
      <c r="K370" t="s">
        <v>503</v>
      </c>
      <c r="L370">
        <v>0</v>
      </c>
      <c r="M370">
        <v>4</v>
      </c>
      <c r="N370">
        <v>4</v>
      </c>
      <c r="O370">
        <v>28</v>
      </c>
      <c r="P370">
        <v>377</v>
      </c>
      <c r="Q370">
        <v>535</v>
      </c>
      <c r="R370">
        <v>760</v>
      </c>
      <c r="S370">
        <v>297</v>
      </c>
    </row>
    <row r="371" spans="1:19" x14ac:dyDescent="0.4">
      <c r="A371" t="s">
        <v>67</v>
      </c>
      <c r="B371">
        <v>202112</v>
      </c>
      <c r="C371">
        <v>16900</v>
      </c>
      <c r="D371" t="s">
        <v>64</v>
      </c>
      <c r="E371">
        <v>590</v>
      </c>
      <c r="F371">
        <v>590</v>
      </c>
      <c r="G371">
        <v>590</v>
      </c>
      <c r="H371">
        <v>590</v>
      </c>
      <c r="I371">
        <v>635</v>
      </c>
      <c r="J371" t="s">
        <v>142</v>
      </c>
      <c r="K371" t="s">
        <v>296</v>
      </c>
      <c r="L371">
        <v>0</v>
      </c>
      <c r="M371">
        <v>2</v>
      </c>
      <c r="N371">
        <v>2</v>
      </c>
      <c r="O371">
        <v>6</v>
      </c>
      <c r="P371">
        <v>615</v>
      </c>
      <c r="Q371">
        <v>655</v>
      </c>
      <c r="R371">
        <v>930</v>
      </c>
      <c r="S371">
        <v>590</v>
      </c>
    </row>
    <row r="372" spans="1:19" x14ac:dyDescent="0.4">
      <c r="A372" t="s">
        <v>67</v>
      </c>
      <c r="B372">
        <v>202112</v>
      </c>
      <c r="C372">
        <v>17000</v>
      </c>
      <c r="D372" t="s">
        <v>62</v>
      </c>
      <c r="E372">
        <v>387</v>
      </c>
      <c r="F372">
        <v>387</v>
      </c>
      <c r="G372">
        <v>347</v>
      </c>
      <c r="H372">
        <v>347</v>
      </c>
      <c r="I372">
        <v>347</v>
      </c>
      <c r="J372" t="s">
        <v>270</v>
      </c>
      <c r="K372" t="s">
        <v>504</v>
      </c>
      <c r="L372">
        <v>8</v>
      </c>
      <c r="M372">
        <v>3</v>
      </c>
      <c r="N372">
        <v>11</v>
      </c>
      <c r="O372">
        <v>138</v>
      </c>
      <c r="P372">
        <v>339</v>
      </c>
      <c r="Q372">
        <v>374</v>
      </c>
      <c r="R372">
        <v>1090</v>
      </c>
      <c r="S372">
        <v>210</v>
      </c>
    </row>
    <row r="373" spans="1:19" x14ac:dyDescent="0.4">
      <c r="A373" t="s">
        <v>67</v>
      </c>
      <c r="B373">
        <v>202112</v>
      </c>
      <c r="C373">
        <v>17000</v>
      </c>
      <c r="D373" t="s">
        <v>64</v>
      </c>
      <c r="E373">
        <v>645</v>
      </c>
      <c r="F373">
        <v>645</v>
      </c>
      <c r="G373">
        <v>645</v>
      </c>
      <c r="H373">
        <v>645</v>
      </c>
      <c r="I373">
        <v>685</v>
      </c>
      <c r="J373" t="s">
        <v>142</v>
      </c>
      <c r="K373" t="s">
        <v>505</v>
      </c>
      <c r="L373">
        <v>1</v>
      </c>
      <c r="M373">
        <v>1</v>
      </c>
      <c r="N373">
        <v>2</v>
      </c>
      <c r="O373">
        <v>140</v>
      </c>
      <c r="P373">
        <v>665</v>
      </c>
      <c r="Q373">
        <v>705</v>
      </c>
      <c r="R373">
        <v>2420</v>
      </c>
      <c r="S373">
        <v>496</v>
      </c>
    </row>
    <row r="374" spans="1:19" x14ac:dyDescent="0.4">
      <c r="A374" t="s">
        <v>67</v>
      </c>
      <c r="B374">
        <v>202112</v>
      </c>
      <c r="C374">
        <v>17100</v>
      </c>
      <c r="D374" t="s">
        <v>62</v>
      </c>
      <c r="E374">
        <v>335</v>
      </c>
      <c r="F374">
        <v>335</v>
      </c>
      <c r="G374">
        <v>334</v>
      </c>
      <c r="H374">
        <v>334</v>
      </c>
      <c r="I374">
        <v>305</v>
      </c>
      <c r="J374" t="s">
        <v>95</v>
      </c>
      <c r="K374" t="s">
        <v>506</v>
      </c>
      <c r="L374">
        <v>8</v>
      </c>
      <c r="M374">
        <v>17</v>
      </c>
      <c r="N374">
        <v>25</v>
      </c>
      <c r="O374">
        <v>32</v>
      </c>
      <c r="P374">
        <v>288</v>
      </c>
      <c r="Q374">
        <v>321</v>
      </c>
      <c r="R374">
        <v>540</v>
      </c>
      <c r="S374">
        <v>231</v>
      </c>
    </row>
    <row r="375" spans="1:19" x14ac:dyDescent="0.4">
      <c r="A375" t="s">
        <v>67</v>
      </c>
      <c r="B375">
        <v>202112</v>
      </c>
      <c r="C375">
        <v>17100</v>
      </c>
      <c r="D375" t="s">
        <v>64</v>
      </c>
      <c r="E375">
        <v>695</v>
      </c>
      <c r="F375">
        <v>695</v>
      </c>
      <c r="G375">
        <v>695</v>
      </c>
      <c r="H375">
        <v>695</v>
      </c>
      <c r="I375">
        <v>745</v>
      </c>
      <c r="J375" t="s">
        <v>137</v>
      </c>
      <c r="K375" t="s">
        <v>507</v>
      </c>
      <c r="L375">
        <v>0</v>
      </c>
      <c r="M375">
        <v>20</v>
      </c>
      <c r="N375">
        <v>20</v>
      </c>
      <c r="O375">
        <v>35</v>
      </c>
      <c r="P375">
        <v>720</v>
      </c>
      <c r="Q375">
        <v>760</v>
      </c>
      <c r="R375">
        <v>990</v>
      </c>
      <c r="S375">
        <v>595</v>
      </c>
    </row>
    <row r="376" spans="1:19" x14ac:dyDescent="0.4">
      <c r="A376" t="s">
        <v>67</v>
      </c>
      <c r="B376">
        <v>202112</v>
      </c>
      <c r="C376">
        <v>17200</v>
      </c>
      <c r="D376" t="s">
        <v>62</v>
      </c>
      <c r="E376">
        <v>268</v>
      </c>
      <c r="F376">
        <v>268</v>
      </c>
      <c r="G376">
        <v>263</v>
      </c>
      <c r="H376">
        <v>266</v>
      </c>
      <c r="I376">
        <v>266</v>
      </c>
      <c r="J376" t="s">
        <v>146</v>
      </c>
      <c r="K376" t="s">
        <v>508</v>
      </c>
      <c r="L376">
        <v>0</v>
      </c>
      <c r="M376">
        <v>14</v>
      </c>
      <c r="N376">
        <v>14</v>
      </c>
      <c r="O376">
        <v>624</v>
      </c>
      <c r="P376">
        <v>251</v>
      </c>
      <c r="Q376">
        <v>281</v>
      </c>
      <c r="R376">
        <v>1000</v>
      </c>
      <c r="S376">
        <v>200</v>
      </c>
    </row>
    <row r="377" spans="1:19" x14ac:dyDescent="0.4">
      <c r="A377" t="s">
        <v>67</v>
      </c>
      <c r="B377">
        <v>202112</v>
      </c>
      <c r="C377">
        <v>17200</v>
      </c>
      <c r="D377" t="s">
        <v>64</v>
      </c>
      <c r="E377">
        <v>800</v>
      </c>
      <c r="F377">
        <v>800</v>
      </c>
      <c r="G377">
        <v>800</v>
      </c>
      <c r="H377">
        <v>800</v>
      </c>
      <c r="I377">
        <v>800</v>
      </c>
      <c r="J377" t="s">
        <v>274</v>
      </c>
      <c r="K377" t="s">
        <v>509</v>
      </c>
      <c r="L377">
        <v>3</v>
      </c>
      <c r="M377">
        <v>1</v>
      </c>
      <c r="N377">
        <v>4</v>
      </c>
      <c r="O377">
        <v>88</v>
      </c>
      <c r="P377">
        <v>785</v>
      </c>
      <c r="Q377">
        <v>825</v>
      </c>
      <c r="R377">
        <v>2700</v>
      </c>
      <c r="S377">
        <v>560</v>
      </c>
    </row>
    <row r="378" spans="1:19" x14ac:dyDescent="0.4">
      <c r="A378" t="s">
        <v>67</v>
      </c>
      <c r="B378">
        <v>202112</v>
      </c>
      <c r="C378">
        <v>17300</v>
      </c>
      <c r="D378" t="s">
        <v>62</v>
      </c>
      <c r="E378">
        <v>260</v>
      </c>
      <c r="F378">
        <v>260</v>
      </c>
      <c r="G378">
        <v>224</v>
      </c>
      <c r="H378">
        <v>226</v>
      </c>
      <c r="I378">
        <v>226</v>
      </c>
      <c r="J378" t="s">
        <v>146</v>
      </c>
      <c r="K378" t="s">
        <v>510</v>
      </c>
      <c r="L378">
        <v>7</v>
      </c>
      <c r="M378">
        <v>10</v>
      </c>
      <c r="N378">
        <v>17</v>
      </c>
      <c r="O378">
        <v>42</v>
      </c>
      <c r="P378">
        <v>103</v>
      </c>
      <c r="Q378">
        <v>369</v>
      </c>
      <c r="R378">
        <v>560</v>
      </c>
      <c r="S378">
        <v>170</v>
      </c>
    </row>
    <row r="379" spans="1:19" x14ac:dyDescent="0.4">
      <c r="A379" t="s">
        <v>67</v>
      </c>
      <c r="B379">
        <v>202112</v>
      </c>
      <c r="C379">
        <v>17300</v>
      </c>
      <c r="D379" t="s">
        <v>64</v>
      </c>
      <c r="E379">
        <v>830</v>
      </c>
      <c r="F379">
        <v>830</v>
      </c>
      <c r="G379">
        <v>830</v>
      </c>
      <c r="H379">
        <v>830</v>
      </c>
      <c r="I379">
        <v>865</v>
      </c>
      <c r="J379" t="s">
        <v>101</v>
      </c>
      <c r="K379" t="s">
        <v>511</v>
      </c>
      <c r="L379">
        <v>0</v>
      </c>
      <c r="M379">
        <v>1</v>
      </c>
      <c r="N379">
        <v>1</v>
      </c>
      <c r="O379">
        <v>2</v>
      </c>
      <c r="P379">
        <v>845</v>
      </c>
      <c r="Q379">
        <v>885</v>
      </c>
      <c r="R379">
        <v>830</v>
      </c>
      <c r="S379">
        <v>610</v>
      </c>
    </row>
    <row r="380" spans="1:19" x14ac:dyDescent="0.4">
      <c r="A380" t="s">
        <v>67</v>
      </c>
      <c r="B380">
        <v>202112</v>
      </c>
      <c r="C380">
        <v>17400</v>
      </c>
      <c r="D380" t="s">
        <v>62</v>
      </c>
      <c r="E380">
        <v>226</v>
      </c>
      <c r="F380">
        <v>226</v>
      </c>
      <c r="G380">
        <v>226</v>
      </c>
      <c r="H380">
        <v>226</v>
      </c>
      <c r="I380">
        <v>194</v>
      </c>
      <c r="J380" t="s">
        <v>73</v>
      </c>
      <c r="K380" s="28">
        <v>0</v>
      </c>
      <c r="L380">
        <v>1</v>
      </c>
      <c r="M380">
        <v>1</v>
      </c>
      <c r="N380">
        <v>2</v>
      </c>
      <c r="O380">
        <v>125</v>
      </c>
      <c r="P380">
        <v>183</v>
      </c>
      <c r="Q380">
        <v>213</v>
      </c>
      <c r="R380">
        <v>875</v>
      </c>
      <c r="S380">
        <v>168</v>
      </c>
    </row>
    <row r="381" spans="1:19" x14ac:dyDescent="0.4">
      <c r="A381" t="s">
        <v>67</v>
      </c>
      <c r="B381">
        <v>202112</v>
      </c>
      <c r="C381">
        <v>17400</v>
      </c>
      <c r="D381" t="s">
        <v>64</v>
      </c>
      <c r="E381" t="s">
        <v>63</v>
      </c>
      <c r="F381" t="s">
        <v>63</v>
      </c>
      <c r="G381" t="s">
        <v>63</v>
      </c>
      <c r="H381" t="s">
        <v>63</v>
      </c>
      <c r="I381">
        <v>930</v>
      </c>
      <c r="J381" t="s">
        <v>68</v>
      </c>
      <c r="K381" t="s">
        <v>68</v>
      </c>
      <c r="L381">
        <v>0</v>
      </c>
      <c r="M381">
        <v>0</v>
      </c>
      <c r="N381">
        <v>0</v>
      </c>
      <c r="O381">
        <v>13</v>
      </c>
      <c r="P381">
        <v>790</v>
      </c>
      <c r="Q381">
        <v>955</v>
      </c>
      <c r="R381">
        <v>1400</v>
      </c>
      <c r="S381">
        <v>660</v>
      </c>
    </row>
    <row r="382" spans="1:19" x14ac:dyDescent="0.4">
      <c r="A382" t="s">
        <v>67</v>
      </c>
      <c r="B382">
        <v>202112</v>
      </c>
      <c r="C382">
        <v>17500</v>
      </c>
      <c r="D382" t="s">
        <v>62</v>
      </c>
      <c r="E382">
        <v>197</v>
      </c>
      <c r="F382">
        <v>197</v>
      </c>
      <c r="G382">
        <v>197</v>
      </c>
      <c r="H382">
        <v>197</v>
      </c>
      <c r="I382">
        <v>166</v>
      </c>
      <c r="J382" t="s">
        <v>431</v>
      </c>
      <c r="K382" t="s">
        <v>512</v>
      </c>
      <c r="L382">
        <v>3</v>
      </c>
      <c r="M382">
        <v>1</v>
      </c>
      <c r="N382">
        <v>4</v>
      </c>
      <c r="O382">
        <v>21</v>
      </c>
      <c r="P382">
        <v>65</v>
      </c>
      <c r="Q382">
        <v>200</v>
      </c>
      <c r="R382">
        <v>474</v>
      </c>
      <c r="S382">
        <v>118</v>
      </c>
    </row>
    <row r="383" spans="1:19" x14ac:dyDescent="0.4">
      <c r="A383" t="s">
        <v>67</v>
      </c>
      <c r="B383">
        <v>202112</v>
      </c>
      <c r="C383">
        <v>17500</v>
      </c>
      <c r="D383" t="s">
        <v>64</v>
      </c>
      <c r="E383">
        <v>980</v>
      </c>
      <c r="F383">
        <v>980</v>
      </c>
      <c r="G383">
        <v>980</v>
      </c>
      <c r="H383">
        <v>980</v>
      </c>
      <c r="I383">
        <v>1000</v>
      </c>
      <c r="J383" t="s">
        <v>73</v>
      </c>
      <c r="K383" s="28">
        <v>0</v>
      </c>
      <c r="L383">
        <v>0</v>
      </c>
      <c r="M383">
        <v>1</v>
      </c>
      <c r="N383">
        <v>1</v>
      </c>
      <c r="O383">
        <v>2</v>
      </c>
      <c r="P383">
        <v>860</v>
      </c>
      <c r="Q383">
        <v>1030</v>
      </c>
      <c r="R383">
        <v>1110</v>
      </c>
      <c r="S383">
        <v>960</v>
      </c>
    </row>
    <row r="384" spans="1:19" x14ac:dyDescent="0.4">
      <c r="A384" t="s">
        <v>67</v>
      </c>
      <c r="B384">
        <v>202112</v>
      </c>
      <c r="C384">
        <v>17600</v>
      </c>
      <c r="D384" t="s">
        <v>62</v>
      </c>
      <c r="E384">
        <v>166</v>
      </c>
      <c r="F384">
        <v>175</v>
      </c>
      <c r="G384">
        <v>141</v>
      </c>
      <c r="H384">
        <v>146</v>
      </c>
      <c r="I384">
        <v>135</v>
      </c>
      <c r="J384" t="s">
        <v>92</v>
      </c>
      <c r="K384" t="s">
        <v>513</v>
      </c>
      <c r="L384">
        <v>2</v>
      </c>
      <c r="M384">
        <v>21</v>
      </c>
      <c r="N384">
        <v>23</v>
      </c>
      <c r="O384">
        <v>132</v>
      </c>
      <c r="P384">
        <v>128</v>
      </c>
      <c r="Q384">
        <v>142</v>
      </c>
      <c r="R384">
        <v>750</v>
      </c>
      <c r="S384">
        <v>102</v>
      </c>
    </row>
    <row r="385" spans="1:19" x14ac:dyDescent="0.4">
      <c r="A385" t="s">
        <v>67</v>
      </c>
      <c r="B385">
        <v>202112</v>
      </c>
      <c r="C385">
        <v>17600</v>
      </c>
      <c r="D385" t="s">
        <v>64</v>
      </c>
      <c r="E385" t="s">
        <v>63</v>
      </c>
      <c r="F385" t="s">
        <v>63</v>
      </c>
      <c r="G385" t="s">
        <v>63</v>
      </c>
      <c r="H385" t="s">
        <v>63</v>
      </c>
      <c r="I385">
        <v>1070</v>
      </c>
      <c r="J385" t="s">
        <v>68</v>
      </c>
      <c r="K385" t="s">
        <v>68</v>
      </c>
      <c r="L385">
        <v>0</v>
      </c>
      <c r="M385">
        <v>0</v>
      </c>
      <c r="N385">
        <v>0</v>
      </c>
      <c r="O385">
        <v>34</v>
      </c>
      <c r="P385">
        <v>1050</v>
      </c>
      <c r="Q385">
        <v>1100</v>
      </c>
      <c r="R385">
        <v>2500</v>
      </c>
      <c r="S385">
        <v>730</v>
      </c>
    </row>
    <row r="386" spans="1:19" x14ac:dyDescent="0.4">
      <c r="A386" t="s">
        <v>67</v>
      </c>
      <c r="B386">
        <v>202112</v>
      </c>
      <c r="C386">
        <v>17700</v>
      </c>
      <c r="D386" t="s">
        <v>62</v>
      </c>
      <c r="E386">
        <v>137</v>
      </c>
      <c r="F386">
        <v>140</v>
      </c>
      <c r="G386">
        <v>118</v>
      </c>
      <c r="H386">
        <v>118</v>
      </c>
      <c r="I386">
        <v>118</v>
      </c>
      <c r="J386" t="s">
        <v>147</v>
      </c>
      <c r="K386" t="s">
        <v>514</v>
      </c>
      <c r="L386">
        <v>2</v>
      </c>
      <c r="M386">
        <v>3</v>
      </c>
      <c r="N386">
        <v>5</v>
      </c>
      <c r="O386">
        <v>62</v>
      </c>
      <c r="P386">
        <v>104</v>
      </c>
      <c r="Q386">
        <v>134</v>
      </c>
      <c r="R386">
        <v>377</v>
      </c>
      <c r="S386">
        <v>82</v>
      </c>
    </row>
    <row r="387" spans="1:19" x14ac:dyDescent="0.4">
      <c r="A387" t="s">
        <v>67</v>
      </c>
      <c r="B387">
        <v>202112</v>
      </c>
      <c r="C387">
        <v>17700</v>
      </c>
      <c r="D387" t="s">
        <v>64</v>
      </c>
      <c r="E387" t="s">
        <v>63</v>
      </c>
      <c r="F387" t="s">
        <v>63</v>
      </c>
      <c r="G387" t="s">
        <v>63</v>
      </c>
      <c r="H387" t="s">
        <v>63</v>
      </c>
      <c r="I387">
        <v>1160</v>
      </c>
      <c r="J387" t="s">
        <v>68</v>
      </c>
      <c r="K387" t="s">
        <v>68</v>
      </c>
      <c r="L387">
        <v>0</v>
      </c>
      <c r="M387">
        <v>0</v>
      </c>
      <c r="N387">
        <v>0</v>
      </c>
      <c r="O387">
        <v>0</v>
      </c>
      <c r="P387">
        <v>1020</v>
      </c>
      <c r="Q387">
        <v>1250</v>
      </c>
      <c r="R387" t="s">
        <v>63</v>
      </c>
      <c r="S387" t="s">
        <v>63</v>
      </c>
    </row>
    <row r="388" spans="1:19" x14ac:dyDescent="0.4">
      <c r="A388" t="s">
        <v>67</v>
      </c>
      <c r="B388">
        <v>202112</v>
      </c>
      <c r="C388">
        <v>17800</v>
      </c>
      <c r="D388" t="s">
        <v>62</v>
      </c>
      <c r="E388">
        <v>114</v>
      </c>
      <c r="F388">
        <v>114</v>
      </c>
      <c r="G388">
        <v>114</v>
      </c>
      <c r="H388">
        <v>114</v>
      </c>
      <c r="I388">
        <v>99</v>
      </c>
      <c r="J388" t="s">
        <v>135</v>
      </c>
      <c r="K388" t="s">
        <v>298</v>
      </c>
      <c r="L388">
        <v>0</v>
      </c>
      <c r="M388">
        <v>2</v>
      </c>
      <c r="N388">
        <v>2</v>
      </c>
      <c r="O388">
        <v>250</v>
      </c>
      <c r="P388">
        <v>96</v>
      </c>
      <c r="Q388">
        <v>102</v>
      </c>
      <c r="R388">
        <v>650</v>
      </c>
      <c r="S388">
        <v>29</v>
      </c>
    </row>
    <row r="389" spans="1:19" x14ac:dyDescent="0.4">
      <c r="A389" t="s">
        <v>67</v>
      </c>
      <c r="B389">
        <v>202112</v>
      </c>
      <c r="C389">
        <v>17800</v>
      </c>
      <c r="D389" t="s">
        <v>64</v>
      </c>
      <c r="E389" t="s">
        <v>63</v>
      </c>
      <c r="F389" t="s">
        <v>63</v>
      </c>
      <c r="G389" t="s">
        <v>63</v>
      </c>
      <c r="H389" t="s">
        <v>63</v>
      </c>
      <c r="I389">
        <v>1240</v>
      </c>
      <c r="J389" t="s">
        <v>68</v>
      </c>
      <c r="K389" t="s">
        <v>68</v>
      </c>
      <c r="L389">
        <v>0</v>
      </c>
      <c r="M389">
        <v>0</v>
      </c>
      <c r="N389">
        <v>0</v>
      </c>
      <c r="O389">
        <v>5</v>
      </c>
      <c r="P389">
        <v>1100</v>
      </c>
      <c r="Q389">
        <v>1370</v>
      </c>
      <c r="R389">
        <v>1340</v>
      </c>
      <c r="S389">
        <v>900</v>
      </c>
    </row>
    <row r="390" spans="1:19" x14ac:dyDescent="0.4">
      <c r="A390" t="s">
        <v>67</v>
      </c>
      <c r="B390">
        <v>202112</v>
      </c>
      <c r="C390">
        <v>17900</v>
      </c>
      <c r="D390" t="s">
        <v>62</v>
      </c>
      <c r="E390" t="s">
        <v>63</v>
      </c>
      <c r="F390" t="s">
        <v>63</v>
      </c>
      <c r="G390" t="s">
        <v>63</v>
      </c>
      <c r="H390" t="s">
        <v>63</v>
      </c>
      <c r="I390">
        <v>84</v>
      </c>
      <c r="J390" t="s">
        <v>68</v>
      </c>
      <c r="K390" t="s">
        <v>68</v>
      </c>
      <c r="L390">
        <v>0</v>
      </c>
      <c r="M390">
        <v>0</v>
      </c>
      <c r="N390">
        <v>0</v>
      </c>
      <c r="O390">
        <v>59</v>
      </c>
      <c r="P390">
        <v>50</v>
      </c>
      <c r="Q390">
        <v>93</v>
      </c>
      <c r="R390">
        <v>267</v>
      </c>
      <c r="S390">
        <v>61</v>
      </c>
    </row>
    <row r="391" spans="1:19" x14ac:dyDescent="0.4">
      <c r="A391" t="s">
        <v>67</v>
      </c>
      <c r="B391">
        <v>202112</v>
      </c>
      <c r="C391">
        <v>17900</v>
      </c>
      <c r="D391" t="s">
        <v>64</v>
      </c>
      <c r="E391" t="s">
        <v>63</v>
      </c>
      <c r="F391" t="s">
        <v>63</v>
      </c>
      <c r="G391" t="s">
        <v>63</v>
      </c>
      <c r="H391" t="s">
        <v>63</v>
      </c>
      <c r="I391">
        <v>1320</v>
      </c>
      <c r="J391" t="s">
        <v>68</v>
      </c>
      <c r="K391" t="s">
        <v>68</v>
      </c>
      <c r="L391">
        <v>0</v>
      </c>
      <c r="M391">
        <v>0</v>
      </c>
      <c r="N391">
        <v>0</v>
      </c>
      <c r="O391">
        <v>0</v>
      </c>
      <c r="P391">
        <v>1160</v>
      </c>
      <c r="Q391">
        <v>1460</v>
      </c>
      <c r="R391" t="s">
        <v>63</v>
      </c>
      <c r="S391" t="s">
        <v>63</v>
      </c>
    </row>
    <row r="392" spans="1:19" x14ac:dyDescent="0.4">
      <c r="A392" t="s">
        <v>67</v>
      </c>
      <c r="B392">
        <v>202112</v>
      </c>
      <c r="C392">
        <v>18000</v>
      </c>
      <c r="D392" t="s">
        <v>62</v>
      </c>
      <c r="E392">
        <v>88</v>
      </c>
      <c r="F392">
        <v>92</v>
      </c>
      <c r="G392">
        <v>69</v>
      </c>
      <c r="H392">
        <v>71</v>
      </c>
      <c r="I392">
        <v>71</v>
      </c>
      <c r="J392" t="s">
        <v>87</v>
      </c>
      <c r="K392" t="s">
        <v>515</v>
      </c>
      <c r="L392">
        <v>24</v>
      </c>
      <c r="M392">
        <v>25</v>
      </c>
      <c r="N392">
        <v>49</v>
      </c>
      <c r="O392">
        <v>489</v>
      </c>
      <c r="P392">
        <v>68</v>
      </c>
      <c r="Q392">
        <v>78</v>
      </c>
      <c r="R392">
        <v>555</v>
      </c>
      <c r="S392">
        <v>9</v>
      </c>
    </row>
    <row r="393" spans="1:19" x14ac:dyDescent="0.4">
      <c r="A393" t="s">
        <v>67</v>
      </c>
      <c r="B393">
        <v>202112</v>
      </c>
      <c r="C393">
        <v>18000</v>
      </c>
      <c r="D393" t="s">
        <v>64</v>
      </c>
      <c r="E393" t="s">
        <v>63</v>
      </c>
      <c r="F393" t="s">
        <v>63</v>
      </c>
      <c r="G393" t="s">
        <v>63</v>
      </c>
      <c r="H393" t="s">
        <v>63</v>
      </c>
      <c r="I393">
        <v>1410</v>
      </c>
      <c r="J393" t="s">
        <v>68</v>
      </c>
      <c r="K393" t="s">
        <v>68</v>
      </c>
      <c r="L393">
        <v>0</v>
      </c>
      <c r="M393">
        <v>0</v>
      </c>
      <c r="N393">
        <v>0</v>
      </c>
      <c r="O393">
        <v>31</v>
      </c>
      <c r="P393">
        <v>1250</v>
      </c>
      <c r="Q393">
        <v>1540</v>
      </c>
      <c r="R393">
        <v>1930</v>
      </c>
      <c r="S393">
        <v>945</v>
      </c>
    </row>
    <row r="394" spans="1:19" x14ac:dyDescent="0.4">
      <c r="A394" t="s">
        <v>67</v>
      </c>
      <c r="B394">
        <v>202112</v>
      </c>
      <c r="C394">
        <v>18100</v>
      </c>
      <c r="D394" t="s">
        <v>62</v>
      </c>
      <c r="E394">
        <v>68</v>
      </c>
      <c r="F394">
        <v>68</v>
      </c>
      <c r="G394">
        <v>59</v>
      </c>
      <c r="H394">
        <v>59</v>
      </c>
      <c r="I394">
        <v>59</v>
      </c>
      <c r="J394" t="s">
        <v>92</v>
      </c>
      <c r="K394" t="s">
        <v>516</v>
      </c>
      <c r="L394">
        <v>1</v>
      </c>
      <c r="M394">
        <v>12</v>
      </c>
      <c r="N394">
        <v>13</v>
      </c>
      <c r="O394">
        <v>154</v>
      </c>
      <c r="P394">
        <v>36</v>
      </c>
      <c r="Q394">
        <v>60</v>
      </c>
      <c r="R394">
        <v>250</v>
      </c>
      <c r="S394">
        <v>45</v>
      </c>
    </row>
    <row r="395" spans="1:19" x14ac:dyDescent="0.4">
      <c r="A395" t="s">
        <v>67</v>
      </c>
      <c r="B395">
        <v>202112</v>
      </c>
      <c r="C395">
        <v>18100</v>
      </c>
      <c r="D395" t="s">
        <v>64</v>
      </c>
      <c r="E395" t="s">
        <v>63</v>
      </c>
      <c r="F395" t="s">
        <v>63</v>
      </c>
      <c r="G395" t="s">
        <v>63</v>
      </c>
      <c r="H395" t="s">
        <v>63</v>
      </c>
      <c r="I395">
        <v>1500</v>
      </c>
      <c r="J395" t="s">
        <v>68</v>
      </c>
      <c r="K395" t="s">
        <v>68</v>
      </c>
      <c r="L395">
        <v>0</v>
      </c>
      <c r="M395">
        <v>0</v>
      </c>
      <c r="N395">
        <v>0</v>
      </c>
      <c r="O395">
        <v>0</v>
      </c>
      <c r="P395">
        <v>1360</v>
      </c>
      <c r="Q395">
        <v>1630</v>
      </c>
      <c r="R395" t="s">
        <v>63</v>
      </c>
      <c r="S395" t="s">
        <v>63</v>
      </c>
    </row>
    <row r="396" spans="1:19" x14ac:dyDescent="0.4">
      <c r="A396" t="s">
        <v>67</v>
      </c>
      <c r="B396">
        <v>202112</v>
      </c>
      <c r="C396">
        <v>18200</v>
      </c>
      <c r="D396" t="s">
        <v>62</v>
      </c>
      <c r="E396">
        <v>62</v>
      </c>
      <c r="F396">
        <v>62</v>
      </c>
      <c r="G396">
        <v>48</v>
      </c>
      <c r="H396">
        <v>48</v>
      </c>
      <c r="I396">
        <v>48</v>
      </c>
      <c r="J396" t="s">
        <v>135</v>
      </c>
      <c r="K396" t="s">
        <v>283</v>
      </c>
      <c r="L396">
        <v>3</v>
      </c>
      <c r="M396">
        <v>9</v>
      </c>
      <c r="N396">
        <v>12</v>
      </c>
      <c r="O396">
        <v>205</v>
      </c>
      <c r="P396">
        <v>47</v>
      </c>
      <c r="Q396">
        <v>50</v>
      </c>
      <c r="R396">
        <v>497</v>
      </c>
      <c r="S396">
        <v>19</v>
      </c>
    </row>
    <row r="397" spans="1:19" x14ac:dyDescent="0.4">
      <c r="A397" t="s">
        <v>67</v>
      </c>
      <c r="B397">
        <v>202112</v>
      </c>
      <c r="C397">
        <v>18200</v>
      </c>
      <c r="D397" t="s">
        <v>64</v>
      </c>
      <c r="E397" t="s">
        <v>63</v>
      </c>
      <c r="F397" t="s">
        <v>63</v>
      </c>
      <c r="G397" t="s">
        <v>63</v>
      </c>
      <c r="H397" t="s">
        <v>63</v>
      </c>
      <c r="I397">
        <v>1580</v>
      </c>
      <c r="J397" t="s">
        <v>68</v>
      </c>
      <c r="K397" t="s">
        <v>68</v>
      </c>
      <c r="L397">
        <v>0</v>
      </c>
      <c r="M397">
        <v>0</v>
      </c>
      <c r="N397">
        <v>0</v>
      </c>
      <c r="O397">
        <v>0</v>
      </c>
      <c r="P397">
        <v>1440</v>
      </c>
      <c r="Q397">
        <v>1710</v>
      </c>
      <c r="R397" t="s">
        <v>63</v>
      </c>
      <c r="S397" t="s">
        <v>63</v>
      </c>
    </row>
    <row r="398" spans="1:19" x14ac:dyDescent="0.4">
      <c r="A398" t="s">
        <v>67</v>
      </c>
      <c r="B398">
        <v>202112</v>
      </c>
      <c r="C398">
        <v>18300</v>
      </c>
      <c r="D398" t="s">
        <v>62</v>
      </c>
      <c r="E398">
        <v>45</v>
      </c>
      <c r="F398">
        <v>51</v>
      </c>
      <c r="G398">
        <v>40</v>
      </c>
      <c r="H398">
        <v>40.5</v>
      </c>
      <c r="I398">
        <v>40.5</v>
      </c>
      <c r="J398" t="s">
        <v>94</v>
      </c>
      <c r="K398" t="s">
        <v>517</v>
      </c>
      <c r="L398">
        <v>6</v>
      </c>
      <c r="M398">
        <v>30</v>
      </c>
      <c r="N398">
        <v>36</v>
      </c>
      <c r="O398">
        <v>155</v>
      </c>
      <c r="P398">
        <v>29</v>
      </c>
      <c r="Q398">
        <v>50</v>
      </c>
      <c r="R398">
        <v>162</v>
      </c>
      <c r="S398">
        <v>31.5</v>
      </c>
    </row>
    <row r="399" spans="1:19" x14ac:dyDescent="0.4">
      <c r="A399" t="s">
        <v>67</v>
      </c>
      <c r="B399">
        <v>202112</v>
      </c>
      <c r="C399">
        <v>18300</v>
      </c>
      <c r="D399" t="s">
        <v>64</v>
      </c>
      <c r="E399" t="s">
        <v>63</v>
      </c>
      <c r="F399" t="s">
        <v>63</v>
      </c>
      <c r="G399" t="s">
        <v>63</v>
      </c>
      <c r="H399" t="s">
        <v>63</v>
      </c>
      <c r="I399">
        <v>1680</v>
      </c>
      <c r="J399" t="s">
        <v>68</v>
      </c>
      <c r="K399" t="s">
        <v>68</v>
      </c>
      <c r="L399">
        <v>0</v>
      </c>
      <c r="M399">
        <v>0</v>
      </c>
      <c r="N399">
        <v>0</v>
      </c>
      <c r="O399">
        <v>1</v>
      </c>
      <c r="P399">
        <v>1530</v>
      </c>
      <c r="Q399">
        <v>1820</v>
      </c>
      <c r="R399">
        <v>1240</v>
      </c>
      <c r="S399">
        <v>1240</v>
      </c>
    </row>
    <row r="400" spans="1:19" x14ac:dyDescent="0.4">
      <c r="A400" t="s">
        <v>67</v>
      </c>
      <c r="B400">
        <v>202112</v>
      </c>
      <c r="C400">
        <v>18400</v>
      </c>
      <c r="D400" t="s">
        <v>62</v>
      </c>
      <c r="E400">
        <v>42</v>
      </c>
      <c r="F400">
        <v>42</v>
      </c>
      <c r="G400">
        <v>38</v>
      </c>
      <c r="H400">
        <v>38</v>
      </c>
      <c r="I400">
        <v>38</v>
      </c>
      <c r="J400" t="s">
        <v>282</v>
      </c>
      <c r="K400" t="s">
        <v>518</v>
      </c>
      <c r="L400">
        <v>0</v>
      </c>
      <c r="M400">
        <v>3</v>
      </c>
      <c r="N400">
        <v>3</v>
      </c>
      <c r="O400">
        <v>265</v>
      </c>
      <c r="P400">
        <v>34</v>
      </c>
      <c r="Q400">
        <v>40</v>
      </c>
      <c r="R400">
        <v>416</v>
      </c>
      <c r="S400">
        <v>10</v>
      </c>
    </row>
    <row r="401" spans="1:19" x14ac:dyDescent="0.4">
      <c r="A401" t="s">
        <v>67</v>
      </c>
      <c r="B401">
        <v>202112</v>
      </c>
      <c r="C401">
        <v>18400</v>
      </c>
      <c r="D401" t="s">
        <v>64</v>
      </c>
      <c r="E401" t="s">
        <v>63</v>
      </c>
      <c r="F401" t="s">
        <v>63</v>
      </c>
      <c r="G401" t="s">
        <v>63</v>
      </c>
      <c r="H401" t="s">
        <v>63</v>
      </c>
      <c r="I401">
        <v>1770</v>
      </c>
      <c r="J401" t="s">
        <v>68</v>
      </c>
      <c r="K401" t="s">
        <v>68</v>
      </c>
      <c r="L401">
        <v>0</v>
      </c>
      <c r="M401">
        <v>0</v>
      </c>
      <c r="N401">
        <v>0</v>
      </c>
      <c r="O401">
        <v>0</v>
      </c>
      <c r="P401">
        <v>1620</v>
      </c>
      <c r="Q401">
        <v>1910</v>
      </c>
      <c r="R401" t="s">
        <v>63</v>
      </c>
      <c r="S401" t="s">
        <v>63</v>
      </c>
    </row>
    <row r="402" spans="1:19" x14ac:dyDescent="0.4">
      <c r="A402" t="s">
        <v>67</v>
      </c>
      <c r="B402">
        <v>202112</v>
      </c>
      <c r="C402">
        <v>18500</v>
      </c>
      <c r="D402" t="s">
        <v>62</v>
      </c>
      <c r="E402">
        <v>39</v>
      </c>
      <c r="F402">
        <v>39</v>
      </c>
      <c r="G402">
        <v>29</v>
      </c>
      <c r="H402">
        <v>30</v>
      </c>
      <c r="I402">
        <v>30</v>
      </c>
      <c r="J402" t="s">
        <v>119</v>
      </c>
      <c r="K402" t="s">
        <v>519</v>
      </c>
      <c r="L402">
        <v>56</v>
      </c>
      <c r="M402">
        <v>16</v>
      </c>
      <c r="N402">
        <v>72</v>
      </c>
      <c r="O402">
        <v>225</v>
      </c>
      <c r="P402">
        <v>20</v>
      </c>
      <c r="Q402">
        <v>35</v>
      </c>
      <c r="R402">
        <v>150</v>
      </c>
      <c r="S402">
        <v>22</v>
      </c>
    </row>
    <row r="403" spans="1:19" x14ac:dyDescent="0.4">
      <c r="A403" t="s">
        <v>67</v>
      </c>
      <c r="B403">
        <v>202112</v>
      </c>
      <c r="C403">
        <v>18500</v>
      </c>
      <c r="D403" t="s">
        <v>64</v>
      </c>
      <c r="E403" t="s">
        <v>63</v>
      </c>
      <c r="F403" t="s">
        <v>63</v>
      </c>
      <c r="G403" t="s">
        <v>63</v>
      </c>
      <c r="H403" t="s">
        <v>63</v>
      </c>
      <c r="I403">
        <v>1870</v>
      </c>
      <c r="J403" t="s">
        <v>68</v>
      </c>
      <c r="K403" t="s">
        <v>68</v>
      </c>
      <c r="L403">
        <v>0</v>
      </c>
      <c r="M403">
        <v>0</v>
      </c>
      <c r="N403">
        <v>0</v>
      </c>
      <c r="O403">
        <v>0</v>
      </c>
      <c r="P403">
        <v>1720</v>
      </c>
      <c r="Q403">
        <v>1990</v>
      </c>
      <c r="R403" t="s">
        <v>63</v>
      </c>
      <c r="S403" t="s">
        <v>63</v>
      </c>
    </row>
    <row r="404" spans="1:19" x14ac:dyDescent="0.4">
      <c r="A404" t="s">
        <v>67</v>
      </c>
      <c r="B404">
        <v>202112</v>
      </c>
      <c r="C404">
        <v>18600</v>
      </c>
      <c r="D404" t="s">
        <v>62</v>
      </c>
      <c r="E404">
        <v>30</v>
      </c>
      <c r="F404">
        <v>30</v>
      </c>
      <c r="G404">
        <v>23</v>
      </c>
      <c r="H404">
        <v>23.5</v>
      </c>
      <c r="I404">
        <v>23.5</v>
      </c>
      <c r="J404" t="s">
        <v>77</v>
      </c>
      <c r="K404" t="s">
        <v>268</v>
      </c>
      <c r="L404">
        <v>1</v>
      </c>
      <c r="M404">
        <v>28</v>
      </c>
      <c r="N404">
        <v>29</v>
      </c>
      <c r="O404">
        <v>243</v>
      </c>
      <c r="P404">
        <v>15</v>
      </c>
      <c r="Q404">
        <v>37</v>
      </c>
      <c r="R404">
        <v>347</v>
      </c>
      <c r="S404">
        <v>8</v>
      </c>
    </row>
    <row r="405" spans="1:19" x14ac:dyDescent="0.4">
      <c r="A405" t="s">
        <v>67</v>
      </c>
      <c r="B405">
        <v>202112</v>
      </c>
      <c r="C405">
        <v>18600</v>
      </c>
      <c r="D405" t="s">
        <v>64</v>
      </c>
      <c r="E405" t="s">
        <v>63</v>
      </c>
      <c r="F405" t="s">
        <v>63</v>
      </c>
      <c r="G405" t="s">
        <v>63</v>
      </c>
      <c r="H405" t="s">
        <v>63</v>
      </c>
      <c r="I405">
        <v>1960</v>
      </c>
      <c r="J405" t="s">
        <v>68</v>
      </c>
      <c r="K405" t="s">
        <v>68</v>
      </c>
      <c r="L405">
        <v>0</v>
      </c>
      <c r="M405">
        <v>0</v>
      </c>
      <c r="N405">
        <v>0</v>
      </c>
      <c r="O405">
        <v>0</v>
      </c>
      <c r="P405">
        <v>1810</v>
      </c>
      <c r="Q405">
        <v>2100</v>
      </c>
      <c r="R405" t="s">
        <v>63</v>
      </c>
      <c r="S405" t="s">
        <v>63</v>
      </c>
    </row>
    <row r="406" spans="1:19" x14ac:dyDescent="0.4">
      <c r="A406" t="s">
        <v>67</v>
      </c>
      <c r="B406">
        <v>202112</v>
      </c>
      <c r="C406">
        <v>18700</v>
      </c>
      <c r="D406" t="s">
        <v>62</v>
      </c>
      <c r="E406">
        <v>23.5</v>
      </c>
      <c r="F406">
        <v>23.5</v>
      </c>
      <c r="G406">
        <v>23.5</v>
      </c>
      <c r="H406">
        <v>23.5</v>
      </c>
      <c r="I406">
        <v>23.5</v>
      </c>
      <c r="J406" t="s">
        <v>81</v>
      </c>
      <c r="K406" t="s">
        <v>520</v>
      </c>
      <c r="L406">
        <v>0</v>
      </c>
      <c r="M406">
        <v>1</v>
      </c>
      <c r="N406">
        <v>1</v>
      </c>
      <c r="O406">
        <v>59</v>
      </c>
      <c r="P406">
        <v>18</v>
      </c>
      <c r="Q406">
        <v>33.5</v>
      </c>
      <c r="R406">
        <v>107</v>
      </c>
      <c r="S406">
        <v>20.5</v>
      </c>
    </row>
    <row r="407" spans="1:19" x14ac:dyDescent="0.4">
      <c r="A407" t="s">
        <v>67</v>
      </c>
      <c r="B407">
        <v>202112</v>
      </c>
      <c r="C407">
        <v>18700</v>
      </c>
      <c r="D407" t="s">
        <v>64</v>
      </c>
      <c r="E407" t="s">
        <v>63</v>
      </c>
      <c r="F407" t="s">
        <v>63</v>
      </c>
      <c r="G407" t="s">
        <v>63</v>
      </c>
      <c r="H407" t="s">
        <v>63</v>
      </c>
      <c r="I407">
        <v>2060</v>
      </c>
      <c r="J407" t="s">
        <v>68</v>
      </c>
      <c r="K407" t="s">
        <v>68</v>
      </c>
      <c r="L407">
        <v>0</v>
      </c>
      <c r="M407">
        <v>0</v>
      </c>
      <c r="N407">
        <v>0</v>
      </c>
      <c r="O407">
        <v>0</v>
      </c>
      <c r="P407">
        <v>1910</v>
      </c>
      <c r="Q407">
        <v>2200</v>
      </c>
      <c r="R407" t="s">
        <v>63</v>
      </c>
      <c r="S407" t="s">
        <v>63</v>
      </c>
    </row>
    <row r="408" spans="1:19" x14ac:dyDescent="0.4">
      <c r="A408" t="s">
        <v>67</v>
      </c>
      <c r="B408">
        <v>202112</v>
      </c>
      <c r="C408">
        <v>18800</v>
      </c>
      <c r="D408" t="s">
        <v>62</v>
      </c>
      <c r="E408">
        <v>20</v>
      </c>
      <c r="F408">
        <v>20</v>
      </c>
      <c r="G408">
        <v>17</v>
      </c>
      <c r="H408">
        <v>17</v>
      </c>
      <c r="I408">
        <v>20</v>
      </c>
      <c r="J408" t="s">
        <v>77</v>
      </c>
      <c r="K408" t="s">
        <v>521</v>
      </c>
      <c r="L408">
        <v>27</v>
      </c>
      <c r="M408">
        <v>5</v>
      </c>
      <c r="N408">
        <v>32</v>
      </c>
      <c r="O408">
        <v>298</v>
      </c>
      <c r="P408">
        <v>10</v>
      </c>
      <c r="Q408">
        <v>29.5</v>
      </c>
      <c r="R408">
        <v>299</v>
      </c>
      <c r="S408">
        <v>17</v>
      </c>
    </row>
    <row r="409" spans="1:19" x14ac:dyDescent="0.4">
      <c r="A409" t="s">
        <v>67</v>
      </c>
      <c r="B409">
        <v>202112</v>
      </c>
      <c r="C409">
        <v>18800</v>
      </c>
      <c r="D409" t="s">
        <v>64</v>
      </c>
      <c r="E409" t="s">
        <v>63</v>
      </c>
      <c r="F409" t="s">
        <v>63</v>
      </c>
      <c r="G409" t="s">
        <v>63</v>
      </c>
      <c r="H409" t="s">
        <v>63</v>
      </c>
      <c r="I409">
        <v>2150</v>
      </c>
      <c r="J409" t="s">
        <v>68</v>
      </c>
      <c r="K409" t="s">
        <v>68</v>
      </c>
      <c r="L409">
        <v>0</v>
      </c>
      <c r="M409">
        <v>0</v>
      </c>
      <c r="N409">
        <v>0</v>
      </c>
      <c r="O409">
        <v>0</v>
      </c>
      <c r="P409">
        <v>2010</v>
      </c>
      <c r="Q409">
        <v>2280</v>
      </c>
      <c r="R409" t="s">
        <v>63</v>
      </c>
      <c r="S409" t="s">
        <v>63</v>
      </c>
    </row>
    <row r="410" spans="1:19" x14ac:dyDescent="0.4">
      <c r="A410" t="s">
        <v>67</v>
      </c>
      <c r="B410">
        <v>202112</v>
      </c>
      <c r="C410">
        <v>18900</v>
      </c>
      <c r="D410" t="s">
        <v>62</v>
      </c>
      <c r="E410" t="s">
        <v>63</v>
      </c>
      <c r="F410" t="s">
        <v>63</v>
      </c>
      <c r="G410" t="s">
        <v>63</v>
      </c>
      <c r="H410" t="s">
        <v>63</v>
      </c>
      <c r="I410">
        <v>17.5</v>
      </c>
      <c r="J410" t="s">
        <v>68</v>
      </c>
      <c r="K410" t="s">
        <v>68</v>
      </c>
      <c r="L410">
        <v>0</v>
      </c>
      <c r="M410">
        <v>0</v>
      </c>
      <c r="N410">
        <v>0</v>
      </c>
      <c r="O410">
        <v>45</v>
      </c>
      <c r="P410">
        <v>8.9</v>
      </c>
      <c r="Q410">
        <v>17.5</v>
      </c>
      <c r="R410">
        <v>83</v>
      </c>
      <c r="S410">
        <v>1.6</v>
      </c>
    </row>
    <row r="411" spans="1:19" x14ac:dyDescent="0.4">
      <c r="A411" t="s">
        <v>67</v>
      </c>
      <c r="B411">
        <v>202112</v>
      </c>
      <c r="C411">
        <v>18900</v>
      </c>
      <c r="D411" t="s">
        <v>64</v>
      </c>
      <c r="E411" t="s">
        <v>63</v>
      </c>
      <c r="F411" t="s">
        <v>63</v>
      </c>
      <c r="G411" t="s">
        <v>63</v>
      </c>
      <c r="H411" t="s">
        <v>63</v>
      </c>
      <c r="I411">
        <v>2250</v>
      </c>
      <c r="J411" t="s">
        <v>68</v>
      </c>
      <c r="K411" t="s">
        <v>68</v>
      </c>
      <c r="L411">
        <v>0</v>
      </c>
      <c r="M411">
        <v>0</v>
      </c>
      <c r="N411">
        <v>0</v>
      </c>
      <c r="O411">
        <v>0</v>
      </c>
      <c r="P411">
        <v>2100</v>
      </c>
      <c r="Q411">
        <v>2390</v>
      </c>
      <c r="R411" t="s">
        <v>63</v>
      </c>
      <c r="S411" t="s">
        <v>63</v>
      </c>
    </row>
    <row r="412" spans="1:19" x14ac:dyDescent="0.4">
      <c r="A412" t="s">
        <v>67</v>
      </c>
      <c r="B412">
        <v>202112</v>
      </c>
      <c r="C412">
        <v>19000</v>
      </c>
      <c r="D412" t="s">
        <v>62</v>
      </c>
      <c r="E412">
        <v>11</v>
      </c>
      <c r="F412">
        <v>16</v>
      </c>
      <c r="G412">
        <v>10.5</v>
      </c>
      <c r="H412">
        <v>10.5</v>
      </c>
      <c r="I412">
        <v>15</v>
      </c>
      <c r="J412" t="s">
        <v>95</v>
      </c>
      <c r="K412" t="s">
        <v>303</v>
      </c>
      <c r="L412">
        <v>0</v>
      </c>
      <c r="M412">
        <v>33</v>
      </c>
      <c r="N412">
        <v>33</v>
      </c>
      <c r="O412">
        <v>729</v>
      </c>
      <c r="P412">
        <v>10</v>
      </c>
      <c r="Q412">
        <v>25.5</v>
      </c>
      <c r="R412">
        <v>257</v>
      </c>
      <c r="S412">
        <v>10</v>
      </c>
    </row>
    <row r="413" spans="1:19" x14ac:dyDescent="0.4">
      <c r="A413" t="s">
        <v>67</v>
      </c>
      <c r="B413">
        <v>202112</v>
      </c>
      <c r="C413">
        <v>19000</v>
      </c>
      <c r="D413" t="s">
        <v>64</v>
      </c>
      <c r="E413" t="s">
        <v>63</v>
      </c>
      <c r="F413" t="s">
        <v>63</v>
      </c>
      <c r="G413" t="s">
        <v>63</v>
      </c>
      <c r="H413" t="s">
        <v>63</v>
      </c>
      <c r="I413">
        <v>2350</v>
      </c>
      <c r="J413" t="s">
        <v>68</v>
      </c>
      <c r="K413" t="s">
        <v>68</v>
      </c>
      <c r="L413">
        <v>0</v>
      </c>
      <c r="M413">
        <v>0</v>
      </c>
      <c r="N413">
        <v>0</v>
      </c>
      <c r="O413">
        <v>0</v>
      </c>
      <c r="P413">
        <v>2200</v>
      </c>
      <c r="Q413">
        <v>2490</v>
      </c>
      <c r="R413" t="s">
        <v>63</v>
      </c>
      <c r="S413" t="s">
        <v>63</v>
      </c>
    </row>
    <row r="414" spans="1:19" x14ac:dyDescent="0.4">
      <c r="A414" t="s">
        <v>67</v>
      </c>
      <c r="B414">
        <v>202112</v>
      </c>
      <c r="C414">
        <v>19100</v>
      </c>
      <c r="D414" t="s">
        <v>62</v>
      </c>
      <c r="E414" t="s">
        <v>63</v>
      </c>
      <c r="F414" t="s">
        <v>63</v>
      </c>
      <c r="G414" t="s">
        <v>63</v>
      </c>
      <c r="H414" t="s">
        <v>63</v>
      </c>
      <c r="I414">
        <v>13</v>
      </c>
      <c r="J414" t="s">
        <v>68</v>
      </c>
      <c r="K414" s="28" t="s">
        <v>68</v>
      </c>
      <c r="L414">
        <v>0</v>
      </c>
      <c r="M414">
        <v>0</v>
      </c>
      <c r="N414">
        <v>0</v>
      </c>
      <c r="O414">
        <v>10</v>
      </c>
      <c r="P414">
        <v>8.9</v>
      </c>
      <c r="Q414">
        <v>23.5</v>
      </c>
      <c r="R414">
        <v>54</v>
      </c>
      <c r="S414">
        <v>25</v>
      </c>
    </row>
    <row r="415" spans="1:19" x14ac:dyDescent="0.4">
      <c r="A415" t="s">
        <v>67</v>
      </c>
      <c r="B415">
        <v>202112</v>
      </c>
      <c r="C415">
        <v>19100</v>
      </c>
      <c r="D415" t="s">
        <v>64</v>
      </c>
      <c r="E415" t="s">
        <v>63</v>
      </c>
      <c r="F415" t="s">
        <v>63</v>
      </c>
      <c r="G415" t="s">
        <v>63</v>
      </c>
      <c r="H415" t="s">
        <v>63</v>
      </c>
      <c r="I415">
        <v>2450</v>
      </c>
      <c r="J415" t="s">
        <v>68</v>
      </c>
      <c r="K415" t="s">
        <v>68</v>
      </c>
      <c r="L415">
        <v>0</v>
      </c>
      <c r="M415">
        <v>0</v>
      </c>
      <c r="N415">
        <v>0</v>
      </c>
      <c r="O415">
        <v>0</v>
      </c>
      <c r="P415">
        <v>2300</v>
      </c>
      <c r="Q415">
        <v>2590</v>
      </c>
      <c r="R415" t="s">
        <v>63</v>
      </c>
      <c r="S415" t="s">
        <v>63</v>
      </c>
    </row>
    <row r="416" spans="1:19" x14ac:dyDescent="0.4">
      <c r="A416" t="s">
        <v>67</v>
      </c>
      <c r="B416">
        <v>202112</v>
      </c>
      <c r="C416">
        <v>19200</v>
      </c>
      <c r="D416" t="s">
        <v>62</v>
      </c>
      <c r="E416" t="s">
        <v>63</v>
      </c>
      <c r="F416" t="s">
        <v>63</v>
      </c>
      <c r="G416" t="s">
        <v>63</v>
      </c>
      <c r="H416" t="s">
        <v>63</v>
      </c>
      <c r="I416">
        <v>11.5</v>
      </c>
      <c r="J416" t="s">
        <v>68</v>
      </c>
      <c r="K416" t="s">
        <v>68</v>
      </c>
      <c r="L416">
        <v>0</v>
      </c>
      <c r="M416">
        <v>0</v>
      </c>
      <c r="N416">
        <v>0</v>
      </c>
      <c r="O416">
        <v>95</v>
      </c>
      <c r="P416">
        <v>8.9</v>
      </c>
      <c r="Q416">
        <v>14</v>
      </c>
      <c r="R416">
        <v>273</v>
      </c>
      <c r="S416">
        <v>12</v>
      </c>
    </row>
    <row r="417" spans="1:19" x14ac:dyDescent="0.4">
      <c r="A417" t="s">
        <v>67</v>
      </c>
      <c r="B417">
        <v>202112</v>
      </c>
      <c r="C417">
        <v>19200</v>
      </c>
      <c r="D417" t="s">
        <v>64</v>
      </c>
      <c r="E417" t="s">
        <v>63</v>
      </c>
      <c r="F417" t="s">
        <v>63</v>
      </c>
      <c r="G417" t="s">
        <v>63</v>
      </c>
      <c r="H417" t="s">
        <v>63</v>
      </c>
      <c r="I417">
        <v>2550</v>
      </c>
      <c r="J417" t="s">
        <v>68</v>
      </c>
      <c r="K417" t="s">
        <v>68</v>
      </c>
      <c r="L417">
        <v>0</v>
      </c>
      <c r="M417">
        <v>0</v>
      </c>
      <c r="N417">
        <v>0</v>
      </c>
      <c r="O417">
        <v>0</v>
      </c>
      <c r="P417">
        <v>2380</v>
      </c>
      <c r="Q417">
        <v>2670</v>
      </c>
      <c r="R417" t="s">
        <v>63</v>
      </c>
      <c r="S417" t="s">
        <v>63</v>
      </c>
    </row>
    <row r="418" spans="1:19" x14ac:dyDescent="0.4">
      <c r="A418" t="s">
        <v>67</v>
      </c>
      <c r="B418">
        <v>202112</v>
      </c>
      <c r="C418">
        <v>19300</v>
      </c>
      <c r="D418" t="s">
        <v>62</v>
      </c>
      <c r="E418" t="s">
        <v>63</v>
      </c>
      <c r="F418" t="s">
        <v>63</v>
      </c>
      <c r="G418" t="s">
        <v>63</v>
      </c>
      <c r="H418" t="s">
        <v>63</v>
      </c>
      <c r="I418">
        <v>9.8000000000000007</v>
      </c>
      <c r="J418" t="s">
        <v>68</v>
      </c>
      <c r="K418" t="s">
        <v>68</v>
      </c>
      <c r="L418">
        <v>0</v>
      </c>
      <c r="M418">
        <v>0</v>
      </c>
      <c r="N418">
        <v>0</v>
      </c>
      <c r="O418">
        <v>13</v>
      </c>
      <c r="P418">
        <v>2</v>
      </c>
      <c r="Q418">
        <v>22</v>
      </c>
      <c r="R418">
        <v>41.5</v>
      </c>
      <c r="S418">
        <v>41</v>
      </c>
    </row>
    <row r="419" spans="1:19" x14ac:dyDescent="0.4">
      <c r="A419" t="s">
        <v>67</v>
      </c>
      <c r="B419">
        <v>202112</v>
      </c>
      <c r="C419">
        <v>19300</v>
      </c>
      <c r="D419" t="s">
        <v>64</v>
      </c>
      <c r="E419" t="s">
        <v>63</v>
      </c>
      <c r="F419" t="s">
        <v>63</v>
      </c>
      <c r="G419" t="s">
        <v>63</v>
      </c>
      <c r="H419" t="s">
        <v>63</v>
      </c>
      <c r="I419">
        <v>2650</v>
      </c>
      <c r="J419" t="s">
        <v>68</v>
      </c>
      <c r="K419" t="s">
        <v>68</v>
      </c>
      <c r="L419">
        <v>0</v>
      </c>
      <c r="M419">
        <v>0</v>
      </c>
      <c r="N419">
        <v>0</v>
      </c>
      <c r="O419">
        <v>0</v>
      </c>
      <c r="P419">
        <v>2480</v>
      </c>
      <c r="Q419">
        <v>2770</v>
      </c>
      <c r="R419" t="s">
        <v>63</v>
      </c>
      <c r="S419" t="s">
        <v>63</v>
      </c>
    </row>
    <row r="420" spans="1:19" x14ac:dyDescent="0.4">
      <c r="A420" t="s">
        <v>67</v>
      </c>
      <c r="B420">
        <v>202112</v>
      </c>
      <c r="C420">
        <v>19400</v>
      </c>
      <c r="D420" t="s">
        <v>62</v>
      </c>
      <c r="E420">
        <v>8.5</v>
      </c>
      <c r="F420">
        <v>8.5</v>
      </c>
      <c r="G420">
        <v>8.5</v>
      </c>
      <c r="H420">
        <v>8.5</v>
      </c>
      <c r="I420">
        <v>8.5</v>
      </c>
      <c r="J420" t="s">
        <v>110</v>
      </c>
      <c r="K420" t="s">
        <v>521</v>
      </c>
      <c r="L420">
        <v>1</v>
      </c>
      <c r="M420">
        <v>1</v>
      </c>
      <c r="N420">
        <v>2</v>
      </c>
      <c r="O420">
        <v>530</v>
      </c>
      <c r="P420">
        <v>6.6</v>
      </c>
      <c r="Q420">
        <v>8.5</v>
      </c>
      <c r="R420">
        <v>163</v>
      </c>
      <c r="S420">
        <v>8.5</v>
      </c>
    </row>
    <row r="421" spans="1:19" x14ac:dyDescent="0.4">
      <c r="A421" t="s">
        <v>67</v>
      </c>
      <c r="B421">
        <v>202112</v>
      </c>
      <c r="C421">
        <v>19400</v>
      </c>
      <c r="D421" t="s">
        <v>64</v>
      </c>
      <c r="E421" t="s">
        <v>63</v>
      </c>
      <c r="F421" t="s">
        <v>63</v>
      </c>
      <c r="G421" t="s">
        <v>63</v>
      </c>
      <c r="H421" t="s">
        <v>63</v>
      </c>
      <c r="I421">
        <v>2740</v>
      </c>
      <c r="J421" t="s">
        <v>68</v>
      </c>
      <c r="K421" t="s">
        <v>68</v>
      </c>
      <c r="L421">
        <v>0</v>
      </c>
      <c r="M421">
        <v>0</v>
      </c>
      <c r="N421">
        <v>0</v>
      </c>
      <c r="O421">
        <v>0</v>
      </c>
      <c r="P421">
        <v>2580</v>
      </c>
      <c r="Q421">
        <v>2870</v>
      </c>
      <c r="R421" t="s">
        <v>63</v>
      </c>
      <c r="S421" t="s">
        <v>63</v>
      </c>
    </row>
    <row r="422" spans="1:19" x14ac:dyDescent="0.4">
      <c r="A422" t="s">
        <v>67</v>
      </c>
      <c r="B422">
        <v>202112</v>
      </c>
      <c r="C422">
        <v>19500</v>
      </c>
      <c r="D422" t="s">
        <v>62</v>
      </c>
      <c r="E422" t="s">
        <v>63</v>
      </c>
      <c r="F422" t="s">
        <v>63</v>
      </c>
      <c r="G422" t="s">
        <v>63</v>
      </c>
      <c r="H422" t="s">
        <v>63</v>
      </c>
      <c r="I422">
        <v>7.7</v>
      </c>
      <c r="J422" t="s">
        <v>68</v>
      </c>
      <c r="K422" t="s">
        <v>68</v>
      </c>
      <c r="L422">
        <v>0</v>
      </c>
      <c r="M422">
        <v>0</v>
      </c>
      <c r="N422">
        <v>0</v>
      </c>
      <c r="O422">
        <v>8</v>
      </c>
      <c r="P422">
        <v>7</v>
      </c>
      <c r="Q422">
        <v>10</v>
      </c>
      <c r="R422">
        <v>32.5</v>
      </c>
      <c r="S422">
        <v>15</v>
      </c>
    </row>
    <row r="423" spans="1:19" x14ac:dyDescent="0.4">
      <c r="A423" t="s">
        <v>67</v>
      </c>
      <c r="B423">
        <v>202112</v>
      </c>
      <c r="C423">
        <v>19500</v>
      </c>
      <c r="D423" t="s">
        <v>64</v>
      </c>
      <c r="E423" t="s">
        <v>63</v>
      </c>
      <c r="F423" t="s">
        <v>63</v>
      </c>
      <c r="G423" t="s">
        <v>63</v>
      </c>
      <c r="H423" t="s">
        <v>63</v>
      </c>
      <c r="I423">
        <v>2840</v>
      </c>
      <c r="J423" t="s">
        <v>68</v>
      </c>
      <c r="K423" t="s">
        <v>68</v>
      </c>
      <c r="L423">
        <v>0</v>
      </c>
      <c r="M423">
        <v>0</v>
      </c>
      <c r="N423">
        <v>0</v>
      </c>
      <c r="O423">
        <v>0</v>
      </c>
      <c r="P423">
        <v>2680</v>
      </c>
      <c r="Q423">
        <v>2970</v>
      </c>
      <c r="R423" t="s">
        <v>63</v>
      </c>
      <c r="S423" t="s">
        <v>63</v>
      </c>
    </row>
    <row r="424" spans="1:19" x14ac:dyDescent="0.4">
      <c r="A424" t="s">
        <v>67</v>
      </c>
      <c r="B424">
        <v>202112</v>
      </c>
      <c r="C424">
        <v>19600</v>
      </c>
      <c r="D424" t="s">
        <v>62</v>
      </c>
      <c r="E424" t="s">
        <v>63</v>
      </c>
      <c r="F424" t="s">
        <v>63</v>
      </c>
      <c r="G424" t="s">
        <v>63</v>
      </c>
      <c r="H424" t="s">
        <v>63</v>
      </c>
      <c r="I424">
        <v>6.9</v>
      </c>
      <c r="J424" t="s">
        <v>68</v>
      </c>
      <c r="K424" t="s">
        <v>68</v>
      </c>
      <c r="L424">
        <v>0</v>
      </c>
      <c r="M424">
        <v>0</v>
      </c>
      <c r="N424">
        <v>0</v>
      </c>
      <c r="O424">
        <v>457</v>
      </c>
      <c r="P424">
        <v>1</v>
      </c>
      <c r="Q424">
        <v>10</v>
      </c>
      <c r="R424">
        <v>265</v>
      </c>
      <c r="S424">
        <v>7.8</v>
      </c>
    </row>
    <row r="425" spans="1:19" x14ac:dyDescent="0.4">
      <c r="A425" t="s">
        <v>67</v>
      </c>
      <c r="B425">
        <v>202112</v>
      </c>
      <c r="C425">
        <v>19600</v>
      </c>
      <c r="D425" t="s">
        <v>64</v>
      </c>
      <c r="E425" t="s">
        <v>63</v>
      </c>
      <c r="F425" t="s">
        <v>63</v>
      </c>
      <c r="G425" t="s">
        <v>63</v>
      </c>
      <c r="H425" t="s">
        <v>63</v>
      </c>
      <c r="I425">
        <v>2940</v>
      </c>
      <c r="J425" t="s">
        <v>68</v>
      </c>
      <c r="K425" t="s">
        <v>68</v>
      </c>
      <c r="L425">
        <v>0</v>
      </c>
      <c r="M425">
        <v>0</v>
      </c>
      <c r="N425">
        <v>0</v>
      </c>
      <c r="O425">
        <v>0</v>
      </c>
      <c r="P425">
        <v>2780</v>
      </c>
      <c r="Q425">
        <v>3070</v>
      </c>
      <c r="R425" t="s">
        <v>63</v>
      </c>
      <c r="S425" t="s">
        <v>63</v>
      </c>
    </row>
    <row r="426" spans="1:19" x14ac:dyDescent="0.4">
      <c r="A426" t="s">
        <v>67</v>
      </c>
      <c r="B426">
        <v>202112</v>
      </c>
      <c r="C426">
        <v>19700</v>
      </c>
      <c r="D426" t="s">
        <v>62</v>
      </c>
      <c r="E426" t="s">
        <v>63</v>
      </c>
      <c r="F426" t="s">
        <v>63</v>
      </c>
      <c r="G426" t="s">
        <v>63</v>
      </c>
      <c r="H426" t="s">
        <v>63</v>
      </c>
      <c r="I426">
        <v>6.2</v>
      </c>
      <c r="J426" t="s">
        <v>68</v>
      </c>
      <c r="K426" t="s">
        <v>68</v>
      </c>
      <c r="L426">
        <v>0</v>
      </c>
      <c r="M426">
        <v>0</v>
      </c>
      <c r="N426">
        <v>0</v>
      </c>
      <c r="O426">
        <v>55</v>
      </c>
      <c r="P426">
        <v>0.3</v>
      </c>
      <c r="Q426">
        <v>18</v>
      </c>
      <c r="R426">
        <v>33</v>
      </c>
      <c r="S426">
        <v>1.6</v>
      </c>
    </row>
    <row r="427" spans="1:19" x14ac:dyDescent="0.4">
      <c r="A427" t="s">
        <v>67</v>
      </c>
      <c r="B427">
        <v>202112</v>
      </c>
      <c r="C427">
        <v>19700</v>
      </c>
      <c r="D427" t="s">
        <v>64</v>
      </c>
      <c r="E427" t="s">
        <v>63</v>
      </c>
      <c r="F427" t="s">
        <v>63</v>
      </c>
      <c r="G427" t="s">
        <v>63</v>
      </c>
      <c r="H427" t="s">
        <v>63</v>
      </c>
      <c r="I427">
        <v>3040</v>
      </c>
      <c r="J427" t="s">
        <v>68</v>
      </c>
      <c r="K427" t="s">
        <v>68</v>
      </c>
      <c r="L427">
        <v>0</v>
      </c>
      <c r="M427">
        <v>0</v>
      </c>
      <c r="N427">
        <v>0</v>
      </c>
      <c r="O427">
        <v>0</v>
      </c>
      <c r="P427">
        <v>2880</v>
      </c>
      <c r="Q427">
        <v>3170</v>
      </c>
      <c r="R427" t="s">
        <v>63</v>
      </c>
      <c r="S427" t="s">
        <v>63</v>
      </c>
    </row>
    <row r="428" spans="1:19" x14ac:dyDescent="0.4">
      <c r="A428" t="s">
        <v>67</v>
      </c>
      <c r="B428">
        <v>202112</v>
      </c>
      <c r="C428">
        <v>19800</v>
      </c>
      <c r="D428" t="s">
        <v>62</v>
      </c>
      <c r="E428">
        <v>9.3000000000000007</v>
      </c>
      <c r="F428">
        <v>9.3000000000000007</v>
      </c>
      <c r="G428">
        <v>8.9</v>
      </c>
      <c r="H428">
        <v>8.9</v>
      </c>
      <c r="I428">
        <v>5.7</v>
      </c>
      <c r="J428" t="s">
        <v>316</v>
      </c>
      <c r="K428" t="s">
        <v>522</v>
      </c>
      <c r="L428">
        <v>0</v>
      </c>
      <c r="M428">
        <v>5</v>
      </c>
      <c r="N428">
        <v>5</v>
      </c>
      <c r="O428">
        <v>166</v>
      </c>
      <c r="P428">
        <v>0.3</v>
      </c>
      <c r="Q428">
        <v>8.1</v>
      </c>
      <c r="R428">
        <v>256</v>
      </c>
      <c r="S428">
        <v>7</v>
      </c>
    </row>
    <row r="429" spans="1:19" x14ac:dyDescent="0.4">
      <c r="A429" t="s">
        <v>67</v>
      </c>
      <c r="B429">
        <v>202112</v>
      </c>
      <c r="C429">
        <v>19800</v>
      </c>
      <c r="D429" t="s">
        <v>64</v>
      </c>
      <c r="E429" t="s">
        <v>63</v>
      </c>
      <c r="F429" t="s">
        <v>63</v>
      </c>
      <c r="G429" t="s">
        <v>63</v>
      </c>
      <c r="H429" t="s">
        <v>63</v>
      </c>
      <c r="I429">
        <v>3140</v>
      </c>
      <c r="J429" t="s">
        <v>68</v>
      </c>
      <c r="K429" t="s">
        <v>68</v>
      </c>
      <c r="L429">
        <v>0</v>
      </c>
      <c r="M429">
        <v>0</v>
      </c>
      <c r="N429">
        <v>0</v>
      </c>
      <c r="O429">
        <v>0</v>
      </c>
      <c r="P429">
        <v>2980</v>
      </c>
      <c r="Q429">
        <v>3270</v>
      </c>
      <c r="R429" t="s">
        <v>63</v>
      </c>
      <c r="S429" t="s">
        <v>63</v>
      </c>
    </row>
    <row r="430" spans="1:19" x14ac:dyDescent="0.4">
      <c r="A430" t="s">
        <v>67</v>
      </c>
      <c r="B430">
        <v>202112</v>
      </c>
      <c r="C430">
        <v>19900</v>
      </c>
      <c r="D430" t="s">
        <v>62</v>
      </c>
      <c r="E430" t="s">
        <v>63</v>
      </c>
      <c r="F430" t="s">
        <v>63</v>
      </c>
      <c r="G430" t="s">
        <v>63</v>
      </c>
      <c r="H430" t="s">
        <v>63</v>
      </c>
      <c r="I430">
        <v>5.0999999999999996</v>
      </c>
      <c r="J430" t="s">
        <v>68</v>
      </c>
      <c r="K430" t="s">
        <v>68</v>
      </c>
      <c r="L430">
        <v>0</v>
      </c>
      <c r="M430">
        <v>0</v>
      </c>
      <c r="N430">
        <v>0</v>
      </c>
      <c r="O430">
        <v>5</v>
      </c>
      <c r="P430">
        <v>0.3</v>
      </c>
      <c r="Q430">
        <v>118</v>
      </c>
      <c r="R430">
        <v>18</v>
      </c>
      <c r="S430">
        <v>13.5</v>
      </c>
    </row>
    <row r="431" spans="1:19" x14ac:dyDescent="0.4">
      <c r="A431" t="s">
        <v>67</v>
      </c>
      <c r="B431">
        <v>202112</v>
      </c>
      <c r="C431">
        <v>19900</v>
      </c>
      <c r="D431" t="s">
        <v>64</v>
      </c>
      <c r="E431" t="s">
        <v>63</v>
      </c>
      <c r="F431" t="s">
        <v>63</v>
      </c>
      <c r="G431" t="s">
        <v>63</v>
      </c>
      <c r="H431" t="s">
        <v>63</v>
      </c>
      <c r="I431">
        <v>3240</v>
      </c>
      <c r="J431" t="s">
        <v>68</v>
      </c>
      <c r="K431" t="s">
        <v>68</v>
      </c>
      <c r="L431">
        <v>0</v>
      </c>
      <c r="M431">
        <v>0</v>
      </c>
      <c r="N431">
        <v>0</v>
      </c>
      <c r="O431">
        <v>0</v>
      </c>
      <c r="P431">
        <v>3080</v>
      </c>
      <c r="Q431">
        <v>3370</v>
      </c>
      <c r="R431" t="s">
        <v>63</v>
      </c>
      <c r="S431" t="s">
        <v>63</v>
      </c>
    </row>
    <row r="432" spans="1:19" x14ac:dyDescent="0.4">
      <c r="A432" t="s">
        <v>67</v>
      </c>
      <c r="B432">
        <v>202112</v>
      </c>
      <c r="C432">
        <v>20000</v>
      </c>
      <c r="D432" t="s">
        <v>62</v>
      </c>
      <c r="E432" t="s">
        <v>63</v>
      </c>
      <c r="F432" t="s">
        <v>63</v>
      </c>
      <c r="G432" t="s">
        <v>63</v>
      </c>
      <c r="H432" t="s">
        <v>63</v>
      </c>
      <c r="I432">
        <v>4.7</v>
      </c>
      <c r="J432" t="s">
        <v>68</v>
      </c>
      <c r="K432" t="s">
        <v>68</v>
      </c>
      <c r="L432">
        <v>0</v>
      </c>
      <c r="M432">
        <v>0</v>
      </c>
      <c r="N432">
        <v>0</v>
      </c>
      <c r="O432">
        <v>595</v>
      </c>
      <c r="P432">
        <v>0.3</v>
      </c>
      <c r="Q432">
        <v>16</v>
      </c>
      <c r="R432">
        <v>185</v>
      </c>
      <c r="S432">
        <v>5</v>
      </c>
    </row>
    <row r="433" spans="1:19" x14ac:dyDescent="0.4">
      <c r="A433" t="s">
        <v>67</v>
      </c>
      <c r="B433">
        <v>202112</v>
      </c>
      <c r="C433">
        <v>20000</v>
      </c>
      <c r="D433" t="s">
        <v>64</v>
      </c>
      <c r="E433" t="s">
        <v>63</v>
      </c>
      <c r="F433" t="s">
        <v>63</v>
      </c>
      <c r="G433" t="s">
        <v>63</v>
      </c>
      <c r="H433" t="s">
        <v>63</v>
      </c>
      <c r="I433">
        <v>3340</v>
      </c>
      <c r="J433" t="s">
        <v>68</v>
      </c>
      <c r="K433" t="s">
        <v>68</v>
      </c>
      <c r="L433">
        <v>0</v>
      </c>
      <c r="M433">
        <v>0</v>
      </c>
      <c r="N433">
        <v>0</v>
      </c>
      <c r="O433">
        <v>0</v>
      </c>
      <c r="P433">
        <v>3180</v>
      </c>
      <c r="Q433">
        <v>3470</v>
      </c>
      <c r="R433" t="s">
        <v>63</v>
      </c>
      <c r="S433" t="s">
        <v>63</v>
      </c>
    </row>
    <row r="434" spans="1:19" x14ac:dyDescent="0.4">
      <c r="A434" t="s">
        <v>67</v>
      </c>
      <c r="B434">
        <v>202112</v>
      </c>
      <c r="C434">
        <v>20200</v>
      </c>
      <c r="D434" t="s">
        <v>62</v>
      </c>
      <c r="E434" t="s">
        <v>63</v>
      </c>
      <c r="F434" t="s">
        <v>63</v>
      </c>
      <c r="G434" t="s">
        <v>63</v>
      </c>
      <c r="H434" t="s">
        <v>63</v>
      </c>
      <c r="I434">
        <v>3.9</v>
      </c>
      <c r="J434" t="s">
        <v>68</v>
      </c>
      <c r="K434" t="s">
        <v>68</v>
      </c>
      <c r="L434">
        <v>0</v>
      </c>
      <c r="M434">
        <v>0</v>
      </c>
      <c r="N434">
        <v>0</v>
      </c>
      <c r="O434">
        <v>464</v>
      </c>
      <c r="P434">
        <v>0.3</v>
      </c>
      <c r="Q434">
        <v>15.5</v>
      </c>
      <c r="R434">
        <v>86</v>
      </c>
      <c r="S434">
        <v>1.2</v>
      </c>
    </row>
    <row r="435" spans="1:19" x14ac:dyDescent="0.4">
      <c r="A435" t="s">
        <v>67</v>
      </c>
      <c r="B435">
        <v>202112</v>
      </c>
      <c r="C435">
        <v>20200</v>
      </c>
      <c r="D435" t="s">
        <v>64</v>
      </c>
      <c r="E435" t="s">
        <v>63</v>
      </c>
      <c r="F435" t="s">
        <v>63</v>
      </c>
      <c r="G435" t="s">
        <v>63</v>
      </c>
      <c r="H435" t="s">
        <v>63</v>
      </c>
      <c r="I435">
        <v>3540</v>
      </c>
      <c r="J435" t="s">
        <v>68</v>
      </c>
      <c r="K435" t="s">
        <v>68</v>
      </c>
      <c r="L435">
        <v>0</v>
      </c>
      <c r="M435">
        <v>0</v>
      </c>
      <c r="N435">
        <v>0</v>
      </c>
      <c r="O435">
        <v>0</v>
      </c>
      <c r="P435">
        <v>3370</v>
      </c>
      <c r="Q435">
        <v>3670</v>
      </c>
      <c r="R435" t="s">
        <v>63</v>
      </c>
      <c r="S435" t="s">
        <v>63</v>
      </c>
    </row>
    <row r="436" spans="1:19" x14ac:dyDescent="0.4">
      <c r="A436" t="s">
        <v>67</v>
      </c>
      <c r="B436">
        <v>202112</v>
      </c>
      <c r="C436">
        <v>20400</v>
      </c>
      <c r="D436" t="s">
        <v>62</v>
      </c>
      <c r="E436" t="s">
        <v>63</v>
      </c>
      <c r="F436" t="s">
        <v>63</v>
      </c>
      <c r="G436" t="s">
        <v>63</v>
      </c>
      <c r="H436" t="s">
        <v>63</v>
      </c>
      <c r="I436">
        <v>3.3</v>
      </c>
      <c r="J436" t="s">
        <v>68</v>
      </c>
      <c r="K436" t="s">
        <v>68</v>
      </c>
      <c r="L436">
        <v>0</v>
      </c>
      <c r="M436">
        <v>0</v>
      </c>
      <c r="N436">
        <v>0</v>
      </c>
      <c r="O436">
        <v>440</v>
      </c>
      <c r="P436">
        <v>0.3</v>
      </c>
      <c r="Q436">
        <v>14.5</v>
      </c>
      <c r="R436">
        <v>78</v>
      </c>
      <c r="S436">
        <v>0.8</v>
      </c>
    </row>
    <row r="437" spans="1:19" x14ac:dyDescent="0.4">
      <c r="A437" t="s">
        <v>67</v>
      </c>
      <c r="B437">
        <v>202112</v>
      </c>
      <c r="C437">
        <v>20400</v>
      </c>
      <c r="D437" t="s">
        <v>64</v>
      </c>
      <c r="E437" t="s">
        <v>63</v>
      </c>
      <c r="F437" t="s">
        <v>63</v>
      </c>
      <c r="G437" t="s">
        <v>63</v>
      </c>
      <c r="H437" t="s">
        <v>63</v>
      </c>
      <c r="I437">
        <v>3740</v>
      </c>
      <c r="J437" t="s">
        <v>68</v>
      </c>
      <c r="K437" t="s">
        <v>68</v>
      </c>
      <c r="L437">
        <v>0</v>
      </c>
      <c r="M437">
        <v>0</v>
      </c>
      <c r="N437">
        <v>0</v>
      </c>
      <c r="O437">
        <v>0</v>
      </c>
      <c r="P437">
        <v>3570</v>
      </c>
      <c r="Q437">
        <v>3870</v>
      </c>
      <c r="R437" t="s">
        <v>63</v>
      </c>
      <c r="S437" t="s">
        <v>63</v>
      </c>
    </row>
    <row r="438" spans="1:19" x14ac:dyDescent="0.4">
      <c r="A438" t="s">
        <v>67</v>
      </c>
      <c r="B438">
        <v>202112</v>
      </c>
      <c r="C438">
        <v>20600</v>
      </c>
      <c r="D438" t="s">
        <v>62</v>
      </c>
      <c r="E438" t="s">
        <v>63</v>
      </c>
      <c r="F438" t="s">
        <v>63</v>
      </c>
      <c r="G438" t="s">
        <v>63</v>
      </c>
      <c r="H438" t="s">
        <v>63</v>
      </c>
      <c r="I438">
        <v>2.8</v>
      </c>
      <c r="J438" t="s">
        <v>68</v>
      </c>
      <c r="K438" t="s">
        <v>68</v>
      </c>
      <c r="L438">
        <v>0</v>
      </c>
      <c r="M438">
        <v>0</v>
      </c>
      <c r="N438">
        <v>0</v>
      </c>
      <c r="O438">
        <v>487</v>
      </c>
      <c r="P438">
        <v>0.3</v>
      </c>
      <c r="Q438">
        <v>14</v>
      </c>
      <c r="R438">
        <v>155</v>
      </c>
      <c r="S438">
        <v>0.8</v>
      </c>
    </row>
    <row r="439" spans="1:19" x14ac:dyDescent="0.4">
      <c r="A439" t="s">
        <v>67</v>
      </c>
      <c r="B439">
        <v>202112</v>
      </c>
      <c r="C439">
        <v>20600</v>
      </c>
      <c r="D439" t="s">
        <v>64</v>
      </c>
      <c r="E439" t="s">
        <v>63</v>
      </c>
      <c r="F439" t="s">
        <v>63</v>
      </c>
      <c r="G439" t="s">
        <v>63</v>
      </c>
      <c r="H439" t="s">
        <v>63</v>
      </c>
      <c r="I439">
        <v>3940</v>
      </c>
      <c r="J439" t="s">
        <v>68</v>
      </c>
      <c r="K439" t="s">
        <v>68</v>
      </c>
      <c r="L439">
        <v>0</v>
      </c>
      <c r="M439">
        <v>0</v>
      </c>
      <c r="N439">
        <v>0</v>
      </c>
      <c r="O439">
        <v>0</v>
      </c>
      <c r="P439">
        <v>3770</v>
      </c>
      <c r="Q439">
        <v>4070</v>
      </c>
      <c r="R439" t="s">
        <v>63</v>
      </c>
      <c r="S439" t="s">
        <v>63</v>
      </c>
    </row>
    <row r="440" spans="1:19" x14ac:dyDescent="0.4">
      <c r="A440" t="s">
        <v>67</v>
      </c>
      <c r="B440">
        <v>202112</v>
      </c>
      <c r="C440">
        <v>20800</v>
      </c>
      <c r="D440" t="s">
        <v>62</v>
      </c>
      <c r="E440">
        <v>2.4</v>
      </c>
      <c r="F440">
        <v>2.4</v>
      </c>
      <c r="G440">
        <v>2.4</v>
      </c>
      <c r="H440">
        <v>2.4</v>
      </c>
      <c r="I440">
        <v>2.4</v>
      </c>
      <c r="J440" t="s">
        <v>122</v>
      </c>
      <c r="K440" t="s">
        <v>523</v>
      </c>
      <c r="L440">
        <v>0</v>
      </c>
      <c r="M440">
        <v>1</v>
      </c>
      <c r="N440">
        <v>1</v>
      </c>
      <c r="O440">
        <v>472</v>
      </c>
      <c r="P440">
        <v>1.6</v>
      </c>
      <c r="Q440">
        <v>14</v>
      </c>
      <c r="R440">
        <v>63</v>
      </c>
      <c r="S440">
        <v>2.4</v>
      </c>
    </row>
    <row r="441" spans="1:19" x14ac:dyDescent="0.4">
      <c r="A441" t="s">
        <v>67</v>
      </c>
      <c r="B441">
        <v>202112</v>
      </c>
      <c r="C441">
        <v>20800</v>
      </c>
      <c r="D441" t="s">
        <v>64</v>
      </c>
      <c r="E441" t="s">
        <v>63</v>
      </c>
      <c r="F441" t="s">
        <v>63</v>
      </c>
      <c r="G441" t="s">
        <v>63</v>
      </c>
      <c r="H441" t="s">
        <v>63</v>
      </c>
      <c r="I441">
        <v>4140</v>
      </c>
      <c r="J441" t="s">
        <v>68</v>
      </c>
      <c r="K441" t="s">
        <v>68</v>
      </c>
      <c r="L441">
        <v>0</v>
      </c>
      <c r="M441">
        <v>0</v>
      </c>
      <c r="N441">
        <v>0</v>
      </c>
      <c r="O441">
        <v>0</v>
      </c>
      <c r="P441">
        <v>3970</v>
      </c>
      <c r="Q441">
        <v>4270</v>
      </c>
      <c r="R441" t="s">
        <v>63</v>
      </c>
      <c r="S441" t="s">
        <v>63</v>
      </c>
    </row>
    <row r="442" spans="1:19" x14ac:dyDescent="0.4">
      <c r="A442" t="s">
        <v>67</v>
      </c>
      <c r="B442">
        <v>202112</v>
      </c>
      <c r="C442">
        <v>21000</v>
      </c>
      <c r="D442" t="s">
        <v>62</v>
      </c>
      <c r="E442" t="s">
        <v>63</v>
      </c>
      <c r="F442" t="s">
        <v>63</v>
      </c>
      <c r="G442" t="s">
        <v>63</v>
      </c>
      <c r="H442" t="s">
        <v>63</v>
      </c>
      <c r="I442">
        <v>2.1</v>
      </c>
      <c r="J442" t="s">
        <v>68</v>
      </c>
      <c r="K442" t="s">
        <v>68</v>
      </c>
      <c r="L442">
        <v>0</v>
      </c>
      <c r="M442">
        <v>0</v>
      </c>
      <c r="N442">
        <v>0</v>
      </c>
      <c r="O442">
        <v>464</v>
      </c>
      <c r="P442">
        <v>2</v>
      </c>
      <c r="Q442">
        <v>13.5</v>
      </c>
      <c r="R442">
        <v>162</v>
      </c>
      <c r="S442">
        <v>0.3</v>
      </c>
    </row>
    <row r="443" spans="1:19" x14ac:dyDescent="0.4">
      <c r="A443" t="s">
        <v>67</v>
      </c>
      <c r="B443">
        <v>202112</v>
      </c>
      <c r="C443">
        <v>21000</v>
      </c>
      <c r="D443" t="s">
        <v>64</v>
      </c>
      <c r="E443" t="s">
        <v>63</v>
      </c>
      <c r="F443" t="s">
        <v>63</v>
      </c>
      <c r="G443" t="s">
        <v>63</v>
      </c>
      <c r="H443" t="s">
        <v>63</v>
      </c>
      <c r="I443">
        <v>4340</v>
      </c>
      <c r="J443" t="s">
        <v>68</v>
      </c>
      <c r="K443" t="s">
        <v>68</v>
      </c>
      <c r="L443">
        <v>0</v>
      </c>
      <c r="M443">
        <v>0</v>
      </c>
      <c r="N443">
        <v>0</v>
      </c>
      <c r="O443">
        <v>0</v>
      </c>
      <c r="P443">
        <v>4170</v>
      </c>
      <c r="Q443">
        <v>4470</v>
      </c>
      <c r="R443" t="s">
        <v>63</v>
      </c>
      <c r="S443" t="s">
        <v>63</v>
      </c>
    </row>
    <row r="444" spans="1:19" x14ac:dyDescent="0.4">
      <c r="A444" t="s">
        <v>67</v>
      </c>
      <c r="B444">
        <v>202112</v>
      </c>
      <c r="C444">
        <v>21200</v>
      </c>
      <c r="D444" t="s">
        <v>62</v>
      </c>
      <c r="E444">
        <v>2</v>
      </c>
      <c r="F444">
        <v>2</v>
      </c>
      <c r="G444">
        <v>1.8</v>
      </c>
      <c r="H444">
        <v>1.8</v>
      </c>
      <c r="I444">
        <v>1.8</v>
      </c>
      <c r="J444" t="s">
        <v>107</v>
      </c>
      <c r="K444" s="28" t="s">
        <v>291</v>
      </c>
      <c r="L444">
        <v>1</v>
      </c>
      <c r="M444">
        <v>24</v>
      </c>
      <c r="N444">
        <v>25</v>
      </c>
      <c r="O444">
        <v>518</v>
      </c>
      <c r="P444" t="s">
        <v>63</v>
      </c>
      <c r="Q444">
        <v>2.5</v>
      </c>
      <c r="R444">
        <v>49.5</v>
      </c>
      <c r="S444">
        <v>1.8</v>
      </c>
    </row>
    <row r="445" spans="1:19" x14ac:dyDescent="0.4">
      <c r="A445" t="s">
        <v>67</v>
      </c>
      <c r="B445">
        <v>202112</v>
      </c>
      <c r="C445">
        <v>21200</v>
      </c>
      <c r="D445" t="s">
        <v>64</v>
      </c>
      <c r="E445" t="s">
        <v>63</v>
      </c>
      <c r="F445" t="s">
        <v>63</v>
      </c>
      <c r="G445" t="s">
        <v>63</v>
      </c>
      <c r="H445" t="s">
        <v>63</v>
      </c>
      <c r="I445">
        <v>4540</v>
      </c>
      <c r="J445" t="s">
        <v>68</v>
      </c>
      <c r="K445" t="s">
        <v>68</v>
      </c>
      <c r="L445">
        <v>0</v>
      </c>
      <c r="M445">
        <v>0</v>
      </c>
      <c r="N445">
        <v>0</v>
      </c>
      <c r="O445">
        <v>0</v>
      </c>
      <c r="P445">
        <v>4370</v>
      </c>
      <c r="Q445">
        <v>4670</v>
      </c>
      <c r="R445" t="s">
        <v>63</v>
      </c>
      <c r="S445" t="s">
        <v>63</v>
      </c>
    </row>
    <row r="446" spans="1:19" x14ac:dyDescent="0.4">
      <c r="A446" t="s">
        <v>67</v>
      </c>
      <c r="B446">
        <v>202112</v>
      </c>
      <c r="C446">
        <v>21400</v>
      </c>
      <c r="D446" t="s">
        <v>62</v>
      </c>
      <c r="E446" t="s">
        <v>63</v>
      </c>
      <c r="F446" t="s">
        <v>63</v>
      </c>
      <c r="G446" t="s">
        <v>63</v>
      </c>
      <c r="H446" t="s">
        <v>63</v>
      </c>
      <c r="I446">
        <v>1.3</v>
      </c>
      <c r="J446" t="s">
        <v>68</v>
      </c>
      <c r="K446" t="s">
        <v>68</v>
      </c>
      <c r="L446">
        <v>0</v>
      </c>
      <c r="M446">
        <v>0</v>
      </c>
      <c r="N446">
        <v>0</v>
      </c>
      <c r="O446">
        <v>409</v>
      </c>
      <c r="P446" t="s">
        <v>63</v>
      </c>
      <c r="Q446">
        <v>2.2000000000000002</v>
      </c>
      <c r="R446">
        <v>40.5</v>
      </c>
      <c r="S446">
        <v>0.2</v>
      </c>
    </row>
    <row r="447" spans="1:19" x14ac:dyDescent="0.4">
      <c r="A447" t="s">
        <v>67</v>
      </c>
      <c r="B447">
        <v>202112</v>
      </c>
      <c r="C447">
        <v>21400</v>
      </c>
      <c r="D447" t="s">
        <v>64</v>
      </c>
      <c r="E447" t="s">
        <v>63</v>
      </c>
      <c r="F447" t="s">
        <v>63</v>
      </c>
      <c r="G447" t="s">
        <v>63</v>
      </c>
      <c r="H447" t="s">
        <v>63</v>
      </c>
      <c r="I447">
        <v>4730</v>
      </c>
      <c r="J447" t="s">
        <v>68</v>
      </c>
      <c r="K447" t="s">
        <v>68</v>
      </c>
      <c r="L447">
        <v>0</v>
      </c>
      <c r="M447">
        <v>0</v>
      </c>
      <c r="N447">
        <v>0</v>
      </c>
      <c r="O447">
        <v>0</v>
      </c>
      <c r="P447">
        <v>4570</v>
      </c>
      <c r="Q447">
        <v>4870</v>
      </c>
      <c r="R447" t="s">
        <v>63</v>
      </c>
      <c r="S447" t="s">
        <v>63</v>
      </c>
    </row>
    <row r="448" spans="1:19" x14ac:dyDescent="0.4">
      <c r="A448" t="s">
        <v>67</v>
      </c>
      <c r="B448">
        <v>202112</v>
      </c>
      <c r="C448">
        <v>21600</v>
      </c>
      <c r="D448" t="s">
        <v>62</v>
      </c>
      <c r="E448" t="s">
        <v>63</v>
      </c>
      <c r="F448" t="s">
        <v>63</v>
      </c>
      <c r="G448" t="s">
        <v>63</v>
      </c>
      <c r="H448" t="s">
        <v>63</v>
      </c>
      <c r="I448">
        <v>1</v>
      </c>
      <c r="J448" t="s">
        <v>68</v>
      </c>
      <c r="K448" t="s">
        <v>68</v>
      </c>
      <c r="L448">
        <v>0</v>
      </c>
      <c r="M448">
        <v>0</v>
      </c>
      <c r="N448">
        <v>0</v>
      </c>
      <c r="O448">
        <v>569</v>
      </c>
      <c r="P448" t="s">
        <v>63</v>
      </c>
      <c r="Q448">
        <v>1.8</v>
      </c>
      <c r="R448">
        <v>36.5</v>
      </c>
      <c r="S448">
        <v>1.6</v>
      </c>
    </row>
    <row r="449" spans="1:19" x14ac:dyDescent="0.4">
      <c r="A449" t="s">
        <v>67</v>
      </c>
      <c r="B449">
        <v>202112</v>
      </c>
      <c r="C449">
        <v>21600</v>
      </c>
      <c r="D449" t="s">
        <v>64</v>
      </c>
      <c r="E449" t="s">
        <v>63</v>
      </c>
      <c r="F449" t="s">
        <v>63</v>
      </c>
      <c r="G449" t="s">
        <v>63</v>
      </c>
      <c r="H449" t="s">
        <v>63</v>
      </c>
      <c r="I449">
        <v>4930</v>
      </c>
      <c r="J449" t="s">
        <v>68</v>
      </c>
      <c r="K449" t="s">
        <v>68</v>
      </c>
      <c r="L449">
        <v>0</v>
      </c>
      <c r="M449">
        <v>0</v>
      </c>
      <c r="N449">
        <v>0</v>
      </c>
      <c r="O449">
        <v>0</v>
      </c>
      <c r="P449">
        <v>4770</v>
      </c>
      <c r="Q449">
        <v>5070</v>
      </c>
      <c r="R449" t="s">
        <v>63</v>
      </c>
      <c r="S449" t="s">
        <v>63</v>
      </c>
    </row>
    <row r="450" spans="1:19" x14ac:dyDescent="0.4">
      <c r="A450" t="s">
        <v>67</v>
      </c>
      <c r="B450">
        <v>202112</v>
      </c>
      <c r="C450">
        <v>21800</v>
      </c>
      <c r="D450" t="s">
        <v>62</v>
      </c>
      <c r="E450">
        <v>1.7</v>
      </c>
      <c r="F450">
        <v>1.7</v>
      </c>
      <c r="G450">
        <v>0.7</v>
      </c>
      <c r="H450">
        <v>0.7</v>
      </c>
      <c r="I450">
        <v>0.7</v>
      </c>
      <c r="J450" t="s">
        <v>107</v>
      </c>
      <c r="K450" t="s">
        <v>303</v>
      </c>
      <c r="L450">
        <v>305</v>
      </c>
      <c r="M450">
        <v>394</v>
      </c>
      <c r="N450">
        <v>699</v>
      </c>
      <c r="O450">
        <v>1536</v>
      </c>
      <c r="P450">
        <v>0.7</v>
      </c>
      <c r="Q450">
        <v>1.5</v>
      </c>
      <c r="R450">
        <v>32</v>
      </c>
      <c r="S450">
        <v>0.4</v>
      </c>
    </row>
    <row r="451" spans="1:19" x14ac:dyDescent="0.4">
      <c r="A451" t="s">
        <v>67</v>
      </c>
      <c r="B451">
        <v>202112</v>
      </c>
      <c r="C451">
        <v>21800</v>
      </c>
      <c r="D451" t="s">
        <v>64</v>
      </c>
      <c r="E451" t="s">
        <v>63</v>
      </c>
      <c r="F451" t="s">
        <v>63</v>
      </c>
      <c r="G451" t="s">
        <v>63</v>
      </c>
      <c r="H451" t="s">
        <v>63</v>
      </c>
      <c r="I451">
        <v>5130</v>
      </c>
      <c r="J451" t="s">
        <v>68</v>
      </c>
      <c r="K451" t="s">
        <v>68</v>
      </c>
      <c r="L451">
        <v>0</v>
      </c>
      <c r="M451">
        <v>0</v>
      </c>
      <c r="N451">
        <v>0</v>
      </c>
      <c r="O451">
        <v>1</v>
      </c>
      <c r="P451">
        <v>4970</v>
      </c>
      <c r="Q451">
        <v>5270</v>
      </c>
      <c r="R451">
        <v>4750</v>
      </c>
      <c r="S451">
        <v>4750</v>
      </c>
    </row>
    <row r="452" spans="1:19" x14ac:dyDescent="0.4">
      <c r="A452" t="s">
        <v>67</v>
      </c>
      <c r="B452">
        <v>202203</v>
      </c>
      <c r="C452">
        <v>13000</v>
      </c>
      <c r="D452" t="s">
        <v>62</v>
      </c>
      <c r="E452" t="s">
        <v>63</v>
      </c>
      <c r="F452" t="s">
        <v>63</v>
      </c>
      <c r="G452" t="s">
        <v>63</v>
      </c>
      <c r="H452" t="s">
        <v>63</v>
      </c>
      <c r="I452">
        <v>3670</v>
      </c>
      <c r="J452" t="s">
        <v>68</v>
      </c>
      <c r="K452" t="s">
        <v>68</v>
      </c>
      <c r="L452">
        <v>0</v>
      </c>
      <c r="M452">
        <v>0</v>
      </c>
      <c r="N452">
        <v>0</v>
      </c>
      <c r="O452">
        <v>2</v>
      </c>
      <c r="P452">
        <v>3540</v>
      </c>
      <c r="Q452">
        <v>3830</v>
      </c>
      <c r="R452">
        <v>4200</v>
      </c>
      <c r="S452">
        <v>4200</v>
      </c>
    </row>
    <row r="453" spans="1:19" x14ac:dyDescent="0.4">
      <c r="A453" t="s">
        <v>67</v>
      </c>
      <c r="B453">
        <v>202203</v>
      </c>
      <c r="C453">
        <v>13000</v>
      </c>
      <c r="D453" t="s">
        <v>64</v>
      </c>
      <c r="E453">
        <v>129</v>
      </c>
      <c r="F453">
        <v>130</v>
      </c>
      <c r="G453">
        <v>124</v>
      </c>
      <c r="H453">
        <v>128</v>
      </c>
      <c r="I453">
        <v>128</v>
      </c>
      <c r="J453" t="s">
        <v>82</v>
      </c>
      <c r="K453" t="s">
        <v>524</v>
      </c>
      <c r="L453">
        <v>26</v>
      </c>
      <c r="M453">
        <v>42</v>
      </c>
      <c r="N453">
        <v>68</v>
      </c>
      <c r="O453">
        <v>285</v>
      </c>
      <c r="P453">
        <v>127</v>
      </c>
      <c r="Q453">
        <v>131</v>
      </c>
      <c r="R453">
        <v>278</v>
      </c>
      <c r="S453">
        <v>120</v>
      </c>
    </row>
    <row r="454" spans="1:19" x14ac:dyDescent="0.4">
      <c r="A454" t="s">
        <v>67</v>
      </c>
      <c r="B454">
        <v>202203</v>
      </c>
      <c r="C454">
        <v>13200</v>
      </c>
      <c r="D454" t="s">
        <v>62</v>
      </c>
      <c r="E454" t="s">
        <v>63</v>
      </c>
      <c r="F454" t="s">
        <v>63</v>
      </c>
      <c r="G454" t="s">
        <v>63</v>
      </c>
      <c r="H454" t="s">
        <v>63</v>
      </c>
      <c r="I454">
        <v>3490</v>
      </c>
      <c r="J454" t="s">
        <v>68</v>
      </c>
      <c r="K454" t="s">
        <v>68</v>
      </c>
      <c r="L454">
        <v>0</v>
      </c>
      <c r="M454">
        <v>0</v>
      </c>
      <c r="N454">
        <v>0</v>
      </c>
      <c r="O454">
        <v>0</v>
      </c>
      <c r="P454">
        <v>3350</v>
      </c>
      <c r="Q454">
        <v>3640</v>
      </c>
      <c r="R454" t="s">
        <v>63</v>
      </c>
      <c r="S454" t="s">
        <v>63</v>
      </c>
    </row>
    <row r="455" spans="1:19" x14ac:dyDescent="0.4">
      <c r="A455" t="s">
        <v>67</v>
      </c>
      <c r="B455">
        <v>202203</v>
      </c>
      <c r="C455">
        <v>13200</v>
      </c>
      <c r="D455" t="s">
        <v>64</v>
      </c>
      <c r="E455">
        <v>142</v>
      </c>
      <c r="F455">
        <v>142</v>
      </c>
      <c r="G455">
        <v>142</v>
      </c>
      <c r="H455">
        <v>142</v>
      </c>
      <c r="I455">
        <v>144</v>
      </c>
      <c r="J455" t="s">
        <v>139</v>
      </c>
      <c r="K455" t="s">
        <v>525</v>
      </c>
      <c r="L455">
        <v>0</v>
      </c>
      <c r="M455">
        <v>1</v>
      </c>
      <c r="N455">
        <v>1</v>
      </c>
      <c r="O455">
        <v>97</v>
      </c>
      <c r="P455">
        <v>144</v>
      </c>
      <c r="Q455">
        <v>283</v>
      </c>
      <c r="R455">
        <v>320</v>
      </c>
      <c r="S455">
        <v>126</v>
      </c>
    </row>
    <row r="456" spans="1:19" x14ac:dyDescent="0.4">
      <c r="A456" t="s">
        <v>67</v>
      </c>
      <c r="B456">
        <v>202203</v>
      </c>
      <c r="C456">
        <v>13400</v>
      </c>
      <c r="D456" t="s">
        <v>62</v>
      </c>
      <c r="E456" t="s">
        <v>63</v>
      </c>
      <c r="F456" t="s">
        <v>63</v>
      </c>
      <c r="G456" t="s">
        <v>63</v>
      </c>
      <c r="H456" t="s">
        <v>63</v>
      </c>
      <c r="I456">
        <v>3300</v>
      </c>
      <c r="J456" t="s">
        <v>68</v>
      </c>
      <c r="K456" t="s">
        <v>68</v>
      </c>
      <c r="L456">
        <v>0</v>
      </c>
      <c r="M456">
        <v>0</v>
      </c>
      <c r="N456">
        <v>0</v>
      </c>
      <c r="O456">
        <v>0</v>
      </c>
      <c r="P456">
        <v>3160</v>
      </c>
      <c r="Q456">
        <v>3460</v>
      </c>
      <c r="R456" t="s">
        <v>63</v>
      </c>
      <c r="S456" t="s">
        <v>63</v>
      </c>
    </row>
    <row r="457" spans="1:19" x14ac:dyDescent="0.4">
      <c r="A457" t="s">
        <v>67</v>
      </c>
      <c r="B457">
        <v>202203</v>
      </c>
      <c r="C457">
        <v>13400</v>
      </c>
      <c r="D457" t="s">
        <v>64</v>
      </c>
      <c r="E457" t="s">
        <v>63</v>
      </c>
      <c r="F457" t="s">
        <v>63</v>
      </c>
      <c r="G457" t="s">
        <v>63</v>
      </c>
      <c r="H457" t="s">
        <v>63</v>
      </c>
      <c r="I457">
        <v>159</v>
      </c>
      <c r="J457" t="s">
        <v>68</v>
      </c>
      <c r="K457" t="s">
        <v>68</v>
      </c>
      <c r="L457">
        <v>0</v>
      </c>
      <c r="M457">
        <v>0</v>
      </c>
      <c r="N457">
        <v>0</v>
      </c>
      <c r="O457">
        <v>32</v>
      </c>
      <c r="P457">
        <v>143</v>
      </c>
      <c r="Q457">
        <v>176</v>
      </c>
      <c r="R457">
        <v>346</v>
      </c>
      <c r="S457">
        <v>155</v>
      </c>
    </row>
    <row r="458" spans="1:19" x14ac:dyDescent="0.4">
      <c r="A458" t="s">
        <v>67</v>
      </c>
      <c r="B458">
        <v>202203</v>
      </c>
      <c r="C458">
        <v>13600</v>
      </c>
      <c r="D458" t="s">
        <v>62</v>
      </c>
      <c r="E458" t="s">
        <v>63</v>
      </c>
      <c r="F458" t="s">
        <v>63</v>
      </c>
      <c r="G458" t="s">
        <v>63</v>
      </c>
      <c r="H458" t="s">
        <v>63</v>
      </c>
      <c r="I458">
        <v>3120</v>
      </c>
      <c r="J458" t="s">
        <v>68</v>
      </c>
      <c r="K458" t="s">
        <v>68</v>
      </c>
      <c r="L458">
        <v>0</v>
      </c>
      <c r="M458">
        <v>0</v>
      </c>
      <c r="N458">
        <v>0</v>
      </c>
      <c r="O458">
        <v>0</v>
      </c>
      <c r="P458">
        <v>2980</v>
      </c>
      <c r="Q458">
        <v>3270</v>
      </c>
      <c r="R458" t="s">
        <v>63</v>
      </c>
      <c r="S458" t="s">
        <v>63</v>
      </c>
    </row>
    <row r="459" spans="1:19" x14ac:dyDescent="0.4">
      <c r="A459" t="s">
        <v>67</v>
      </c>
      <c r="B459">
        <v>202203</v>
      </c>
      <c r="C459">
        <v>13600</v>
      </c>
      <c r="D459" t="s">
        <v>64</v>
      </c>
      <c r="E459" t="s">
        <v>63</v>
      </c>
      <c r="F459" t="s">
        <v>63</v>
      </c>
      <c r="G459" t="s">
        <v>63</v>
      </c>
      <c r="H459" t="s">
        <v>63</v>
      </c>
      <c r="I459">
        <v>176</v>
      </c>
      <c r="J459" t="s">
        <v>68</v>
      </c>
      <c r="K459" t="s">
        <v>68</v>
      </c>
      <c r="L459">
        <v>0</v>
      </c>
      <c r="M459">
        <v>0</v>
      </c>
      <c r="N459">
        <v>0</v>
      </c>
      <c r="O459">
        <v>127</v>
      </c>
      <c r="P459">
        <v>172</v>
      </c>
      <c r="Q459">
        <v>316</v>
      </c>
      <c r="R459">
        <v>350</v>
      </c>
      <c r="S459">
        <v>158</v>
      </c>
    </row>
    <row r="460" spans="1:19" x14ac:dyDescent="0.4">
      <c r="A460" t="s">
        <v>67</v>
      </c>
      <c r="B460">
        <v>202203</v>
      </c>
      <c r="C460">
        <v>13800</v>
      </c>
      <c r="D460" t="s">
        <v>62</v>
      </c>
      <c r="E460" t="s">
        <v>63</v>
      </c>
      <c r="F460" t="s">
        <v>63</v>
      </c>
      <c r="G460" t="s">
        <v>63</v>
      </c>
      <c r="H460" t="s">
        <v>63</v>
      </c>
      <c r="I460">
        <v>2940</v>
      </c>
      <c r="J460" t="s">
        <v>68</v>
      </c>
      <c r="K460" t="s">
        <v>68</v>
      </c>
      <c r="L460">
        <v>0</v>
      </c>
      <c r="M460">
        <v>0</v>
      </c>
      <c r="N460">
        <v>0</v>
      </c>
      <c r="O460">
        <v>0</v>
      </c>
      <c r="P460">
        <v>2800</v>
      </c>
      <c r="Q460">
        <v>3090</v>
      </c>
      <c r="R460" t="s">
        <v>63</v>
      </c>
      <c r="S460" t="s">
        <v>63</v>
      </c>
    </row>
    <row r="461" spans="1:19" x14ac:dyDescent="0.4">
      <c r="A461" t="s">
        <v>67</v>
      </c>
      <c r="B461">
        <v>202203</v>
      </c>
      <c r="C461">
        <v>13800</v>
      </c>
      <c r="D461" t="s">
        <v>64</v>
      </c>
      <c r="E461" t="s">
        <v>63</v>
      </c>
      <c r="F461" t="s">
        <v>63</v>
      </c>
      <c r="G461" t="s">
        <v>63</v>
      </c>
      <c r="H461" t="s">
        <v>63</v>
      </c>
      <c r="I461">
        <v>196</v>
      </c>
      <c r="J461" t="s">
        <v>68</v>
      </c>
      <c r="K461" t="s">
        <v>68</v>
      </c>
      <c r="L461">
        <v>0</v>
      </c>
      <c r="M461">
        <v>0</v>
      </c>
      <c r="N461">
        <v>0</v>
      </c>
      <c r="O461">
        <v>69</v>
      </c>
      <c r="P461">
        <v>83</v>
      </c>
      <c r="Q461">
        <v>335</v>
      </c>
      <c r="R461">
        <v>368</v>
      </c>
      <c r="S461">
        <v>177</v>
      </c>
    </row>
    <row r="462" spans="1:19" x14ac:dyDescent="0.4">
      <c r="A462" t="s">
        <v>67</v>
      </c>
      <c r="B462">
        <v>202203</v>
      </c>
      <c r="C462">
        <v>14000</v>
      </c>
      <c r="D462" t="s">
        <v>62</v>
      </c>
      <c r="E462" t="s">
        <v>63</v>
      </c>
      <c r="F462" t="s">
        <v>63</v>
      </c>
      <c r="G462" t="s">
        <v>63</v>
      </c>
      <c r="H462" t="s">
        <v>63</v>
      </c>
      <c r="I462">
        <v>2760</v>
      </c>
      <c r="J462" t="s">
        <v>68</v>
      </c>
      <c r="K462" s="28" t="s">
        <v>68</v>
      </c>
      <c r="L462">
        <v>0</v>
      </c>
      <c r="M462">
        <v>0</v>
      </c>
      <c r="N462">
        <v>0</v>
      </c>
      <c r="O462">
        <v>0</v>
      </c>
      <c r="P462">
        <v>2620</v>
      </c>
      <c r="Q462">
        <v>2910</v>
      </c>
      <c r="R462" t="s">
        <v>63</v>
      </c>
      <c r="S462" t="s">
        <v>63</v>
      </c>
    </row>
    <row r="463" spans="1:19" x14ac:dyDescent="0.4">
      <c r="A463" t="s">
        <v>67</v>
      </c>
      <c r="B463">
        <v>202203</v>
      </c>
      <c r="C463">
        <v>14000</v>
      </c>
      <c r="D463" t="s">
        <v>64</v>
      </c>
      <c r="E463" t="s">
        <v>63</v>
      </c>
      <c r="F463" t="s">
        <v>63</v>
      </c>
      <c r="G463" t="s">
        <v>63</v>
      </c>
      <c r="H463" t="s">
        <v>63</v>
      </c>
      <c r="I463">
        <v>217</v>
      </c>
      <c r="J463" t="s">
        <v>68</v>
      </c>
      <c r="K463" t="s">
        <v>68</v>
      </c>
      <c r="L463">
        <v>0</v>
      </c>
      <c r="M463">
        <v>0</v>
      </c>
      <c r="N463">
        <v>0</v>
      </c>
      <c r="O463">
        <v>38</v>
      </c>
      <c r="P463">
        <v>198</v>
      </c>
      <c r="Q463">
        <v>234</v>
      </c>
      <c r="R463">
        <v>391</v>
      </c>
      <c r="S463">
        <v>207</v>
      </c>
    </row>
    <row r="464" spans="1:19" x14ac:dyDescent="0.4">
      <c r="A464" t="s">
        <v>67</v>
      </c>
      <c r="B464">
        <v>202203</v>
      </c>
      <c r="C464">
        <v>14200</v>
      </c>
      <c r="D464" t="s">
        <v>62</v>
      </c>
      <c r="E464" t="s">
        <v>63</v>
      </c>
      <c r="F464" t="s">
        <v>63</v>
      </c>
      <c r="G464" t="s">
        <v>63</v>
      </c>
      <c r="H464" t="s">
        <v>63</v>
      </c>
      <c r="I464">
        <v>2580</v>
      </c>
      <c r="J464" t="s">
        <v>68</v>
      </c>
      <c r="K464" s="28" t="s">
        <v>68</v>
      </c>
      <c r="L464">
        <v>0</v>
      </c>
      <c r="M464">
        <v>0</v>
      </c>
      <c r="N464">
        <v>0</v>
      </c>
      <c r="O464">
        <v>0</v>
      </c>
      <c r="P464">
        <v>2440</v>
      </c>
      <c r="Q464">
        <v>2740</v>
      </c>
      <c r="R464" t="s">
        <v>63</v>
      </c>
      <c r="S464" t="s">
        <v>63</v>
      </c>
    </row>
    <row r="465" spans="1:19" x14ac:dyDescent="0.4">
      <c r="A465" t="s">
        <v>67</v>
      </c>
      <c r="B465">
        <v>202203</v>
      </c>
      <c r="C465">
        <v>14200</v>
      </c>
      <c r="D465" t="s">
        <v>64</v>
      </c>
      <c r="E465" t="s">
        <v>63</v>
      </c>
      <c r="F465" t="s">
        <v>63</v>
      </c>
      <c r="G465" t="s">
        <v>63</v>
      </c>
      <c r="H465" t="s">
        <v>63</v>
      </c>
      <c r="I465">
        <v>241</v>
      </c>
      <c r="J465" t="s">
        <v>68</v>
      </c>
      <c r="K465" t="s">
        <v>68</v>
      </c>
      <c r="L465">
        <v>0</v>
      </c>
      <c r="M465">
        <v>0</v>
      </c>
      <c r="N465">
        <v>0</v>
      </c>
      <c r="O465">
        <v>14</v>
      </c>
      <c r="P465">
        <v>223</v>
      </c>
      <c r="Q465">
        <v>258</v>
      </c>
      <c r="R465">
        <v>410</v>
      </c>
      <c r="S465">
        <v>227</v>
      </c>
    </row>
    <row r="466" spans="1:19" x14ac:dyDescent="0.4">
      <c r="A466" t="s">
        <v>67</v>
      </c>
      <c r="B466">
        <v>202203</v>
      </c>
      <c r="C466">
        <v>14400</v>
      </c>
      <c r="D466" t="s">
        <v>62</v>
      </c>
      <c r="E466" t="s">
        <v>63</v>
      </c>
      <c r="F466" t="s">
        <v>63</v>
      </c>
      <c r="G466" t="s">
        <v>63</v>
      </c>
      <c r="H466" t="s">
        <v>63</v>
      </c>
      <c r="I466">
        <v>2410</v>
      </c>
      <c r="J466" t="s">
        <v>68</v>
      </c>
      <c r="K466" t="s">
        <v>68</v>
      </c>
      <c r="L466">
        <v>0</v>
      </c>
      <c r="M466">
        <v>0</v>
      </c>
      <c r="N466">
        <v>0</v>
      </c>
      <c r="O466">
        <v>1</v>
      </c>
      <c r="P466">
        <v>2270</v>
      </c>
      <c r="Q466">
        <v>2560</v>
      </c>
      <c r="R466">
        <v>2460</v>
      </c>
      <c r="S466">
        <v>2460</v>
      </c>
    </row>
    <row r="467" spans="1:19" x14ac:dyDescent="0.4">
      <c r="A467" t="s">
        <v>67</v>
      </c>
      <c r="B467">
        <v>202203</v>
      </c>
      <c r="C467">
        <v>14400</v>
      </c>
      <c r="D467" t="s">
        <v>64</v>
      </c>
      <c r="E467" t="s">
        <v>63</v>
      </c>
      <c r="F467" t="s">
        <v>63</v>
      </c>
      <c r="G467" t="s">
        <v>63</v>
      </c>
      <c r="H467" t="s">
        <v>63</v>
      </c>
      <c r="I467">
        <v>268</v>
      </c>
      <c r="J467" t="s">
        <v>68</v>
      </c>
      <c r="K467" t="s">
        <v>68</v>
      </c>
      <c r="L467">
        <v>0</v>
      </c>
      <c r="M467">
        <v>0</v>
      </c>
      <c r="N467">
        <v>0</v>
      </c>
      <c r="O467">
        <v>24</v>
      </c>
      <c r="P467">
        <v>248</v>
      </c>
      <c r="Q467">
        <v>285</v>
      </c>
      <c r="R467">
        <v>432</v>
      </c>
      <c r="S467">
        <v>221</v>
      </c>
    </row>
    <row r="468" spans="1:19" x14ac:dyDescent="0.4">
      <c r="A468" t="s">
        <v>67</v>
      </c>
      <c r="B468">
        <v>202203</v>
      </c>
      <c r="C468">
        <v>14600</v>
      </c>
      <c r="D468" t="s">
        <v>62</v>
      </c>
      <c r="E468" t="s">
        <v>63</v>
      </c>
      <c r="F468" t="s">
        <v>63</v>
      </c>
      <c r="G468" t="s">
        <v>63</v>
      </c>
      <c r="H468" t="s">
        <v>63</v>
      </c>
      <c r="I468">
        <v>2240</v>
      </c>
      <c r="J468" t="s">
        <v>68</v>
      </c>
      <c r="K468" t="s">
        <v>68</v>
      </c>
      <c r="L468">
        <v>0</v>
      </c>
      <c r="M468">
        <v>0</v>
      </c>
      <c r="N468">
        <v>0</v>
      </c>
      <c r="O468">
        <v>0</v>
      </c>
      <c r="P468">
        <v>2100</v>
      </c>
      <c r="Q468">
        <v>2370</v>
      </c>
      <c r="R468" t="s">
        <v>63</v>
      </c>
      <c r="S468" t="s">
        <v>63</v>
      </c>
    </row>
    <row r="469" spans="1:19" x14ac:dyDescent="0.4">
      <c r="A469" t="s">
        <v>67</v>
      </c>
      <c r="B469">
        <v>202203</v>
      </c>
      <c r="C469">
        <v>14600</v>
      </c>
      <c r="D469" t="s">
        <v>64</v>
      </c>
      <c r="E469" t="s">
        <v>63</v>
      </c>
      <c r="F469" t="s">
        <v>63</v>
      </c>
      <c r="G469" t="s">
        <v>63</v>
      </c>
      <c r="H469" t="s">
        <v>63</v>
      </c>
      <c r="I469">
        <v>297</v>
      </c>
      <c r="J469" t="s">
        <v>68</v>
      </c>
      <c r="K469" t="s">
        <v>68</v>
      </c>
      <c r="L469">
        <v>0</v>
      </c>
      <c r="M469">
        <v>0</v>
      </c>
      <c r="N469">
        <v>0</v>
      </c>
      <c r="O469">
        <v>10</v>
      </c>
      <c r="P469">
        <v>275</v>
      </c>
      <c r="Q469">
        <v>316</v>
      </c>
      <c r="R469">
        <v>530</v>
      </c>
      <c r="S469">
        <v>292</v>
      </c>
    </row>
    <row r="470" spans="1:19" x14ac:dyDescent="0.4">
      <c r="A470" t="s">
        <v>67</v>
      </c>
      <c r="B470">
        <v>202203</v>
      </c>
      <c r="C470">
        <v>14800</v>
      </c>
      <c r="D470" t="s">
        <v>62</v>
      </c>
      <c r="E470" t="s">
        <v>63</v>
      </c>
      <c r="F470" t="s">
        <v>63</v>
      </c>
      <c r="G470" t="s">
        <v>63</v>
      </c>
      <c r="H470" t="s">
        <v>63</v>
      </c>
      <c r="I470">
        <v>2070</v>
      </c>
      <c r="J470" t="s">
        <v>68</v>
      </c>
      <c r="K470" t="s">
        <v>68</v>
      </c>
      <c r="L470">
        <v>0</v>
      </c>
      <c r="M470">
        <v>0</v>
      </c>
      <c r="N470">
        <v>0</v>
      </c>
      <c r="O470">
        <v>3</v>
      </c>
      <c r="P470">
        <v>1930</v>
      </c>
      <c r="Q470">
        <v>2200</v>
      </c>
      <c r="R470">
        <v>2130</v>
      </c>
      <c r="S470">
        <v>2050</v>
      </c>
    </row>
    <row r="471" spans="1:19" x14ac:dyDescent="0.4">
      <c r="A471" t="s">
        <v>67</v>
      </c>
      <c r="B471">
        <v>202203</v>
      </c>
      <c r="C471">
        <v>14800</v>
      </c>
      <c r="D471" t="s">
        <v>64</v>
      </c>
      <c r="E471">
        <v>329</v>
      </c>
      <c r="F471">
        <v>329</v>
      </c>
      <c r="G471">
        <v>329</v>
      </c>
      <c r="H471">
        <v>329</v>
      </c>
      <c r="I471">
        <v>329</v>
      </c>
      <c r="J471" t="s">
        <v>81</v>
      </c>
      <c r="K471" t="s">
        <v>526</v>
      </c>
      <c r="L471">
        <v>0</v>
      </c>
      <c r="M471">
        <v>1</v>
      </c>
      <c r="N471">
        <v>1</v>
      </c>
      <c r="O471">
        <v>26</v>
      </c>
      <c r="P471">
        <v>310</v>
      </c>
      <c r="Q471">
        <v>345</v>
      </c>
      <c r="R471">
        <v>510</v>
      </c>
      <c r="S471">
        <v>329</v>
      </c>
    </row>
    <row r="472" spans="1:19" x14ac:dyDescent="0.4">
      <c r="A472" t="s">
        <v>67</v>
      </c>
      <c r="B472">
        <v>202203</v>
      </c>
      <c r="C472">
        <v>15000</v>
      </c>
      <c r="D472" t="s">
        <v>62</v>
      </c>
      <c r="E472" t="s">
        <v>63</v>
      </c>
      <c r="F472" t="s">
        <v>63</v>
      </c>
      <c r="G472" t="s">
        <v>63</v>
      </c>
      <c r="H472" t="s">
        <v>63</v>
      </c>
      <c r="I472">
        <v>1910</v>
      </c>
      <c r="J472" t="s">
        <v>68</v>
      </c>
      <c r="K472" t="s">
        <v>68</v>
      </c>
      <c r="L472">
        <v>0</v>
      </c>
      <c r="M472">
        <v>0</v>
      </c>
      <c r="N472">
        <v>0</v>
      </c>
      <c r="O472">
        <v>0</v>
      </c>
      <c r="P472">
        <v>1870</v>
      </c>
      <c r="Q472">
        <v>1930</v>
      </c>
      <c r="R472">
        <v>2080</v>
      </c>
      <c r="S472">
        <v>2050</v>
      </c>
    </row>
    <row r="473" spans="1:19" x14ac:dyDescent="0.4">
      <c r="A473" t="s">
        <v>67</v>
      </c>
      <c r="B473">
        <v>202203</v>
      </c>
      <c r="C473">
        <v>15000</v>
      </c>
      <c r="D473" t="s">
        <v>64</v>
      </c>
      <c r="E473">
        <v>343</v>
      </c>
      <c r="F473">
        <v>346</v>
      </c>
      <c r="G473">
        <v>340</v>
      </c>
      <c r="H473">
        <v>346</v>
      </c>
      <c r="I473">
        <v>361</v>
      </c>
      <c r="J473" t="s">
        <v>142</v>
      </c>
      <c r="K473" t="s">
        <v>527</v>
      </c>
      <c r="L473">
        <v>0</v>
      </c>
      <c r="M473">
        <v>76</v>
      </c>
      <c r="N473">
        <v>76</v>
      </c>
      <c r="O473">
        <v>87</v>
      </c>
      <c r="P473">
        <v>349</v>
      </c>
      <c r="Q473">
        <v>373</v>
      </c>
      <c r="R473">
        <v>690</v>
      </c>
      <c r="S473">
        <v>304</v>
      </c>
    </row>
    <row r="474" spans="1:19" x14ac:dyDescent="0.4">
      <c r="A474" t="s">
        <v>67</v>
      </c>
      <c r="B474">
        <v>202203</v>
      </c>
      <c r="C474">
        <v>15200</v>
      </c>
      <c r="D474" t="s">
        <v>62</v>
      </c>
      <c r="E474" t="s">
        <v>63</v>
      </c>
      <c r="F474" t="s">
        <v>63</v>
      </c>
      <c r="G474" t="s">
        <v>63</v>
      </c>
      <c r="H474" t="s">
        <v>63</v>
      </c>
      <c r="I474">
        <v>1750</v>
      </c>
      <c r="J474" t="s">
        <v>68</v>
      </c>
      <c r="K474" t="s">
        <v>68</v>
      </c>
      <c r="L474">
        <v>0</v>
      </c>
      <c r="M474">
        <v>0</v>
      </c>
      <c r="N474">
        <v>0</v>
      </c>
      <c r="O474">
        <v>1</v>
      </c>
      <c r="P474">
        <v>1710</v>
      </c>
      <c r="Q474">
        <v>1880</v>
      </c>
      <c r="R474">
        <v>2400</v>
      </c>
      <c r="S474">
        <v>1570</v>
      </c>
    </row>
    <row r="475" spans="1:19" x14ac:dyDescent="0.4">
      <c r="A475" t="s">
        <v>67</v>
      </c>
      <c r="B475">
        <v>202203</v>
      </c>
      <c r="C475">
        <v>15200</v>
      </c>
      <c r="D475" t="s">
        <v>64</v>
      </c>
      <c r="E475" t="s">
        <v>63</v>
      </c>
      <c r="F475" t="s">
        <v>63</v>
      </c>
      <c r="G475" t="s">
        <v>63</v>
      </c>
      <c r="H475" t="s">
        <v>63</v>
      </c>
      <c r="I475">
        <v>407</v>
      </c>
      <c r="J475" t="s">
        <v>68</v>
      </c>
      <c r="K475" t="s">
        <v>68</v>
      </c>
      <c r="L475">
        <v>0</v>
      </c>
      <c r="M475">
        <v>0</v>
      </c>
      <c r="N475">
        <v>0</v>
      </c>
      <c r="O475">
        <v>34</v>
      </c>
      <c r="P475">
        <v>385</v>
      </c>
      <c r="Q475">
        <v>422</v>
      </c>
      <c r="R475">
        <v>650</v>
      </c>
      <c r="S475">
        <v>324</v>
      </c>
    </row>
    <row r="476" spans="1:19" x14ac:dyDescent="0.4">
      <c r="A476" t="s">
        <v>67</v>
      </c>
      <c r="B476">
        <v>202203</v>
      </c>
      <c r="C476">
        <v>15400</v>
      </c>
      <c r="D476" t="s">
        <v>62</v>
      </c>
      <c r="E476" t="s">
        <v>63</v>
      </c>
      <c r="F476" t="s">
        <v>63</v>
      </c>
      <c r="G476" t="s">
        <v>63</v>
      </c>
      <c r="H476" t="s">
        <v>63</v>
      </c>
      <c r="I476">
        <v>1600</v>
      </c>
      <c r="J476" t="s">
        <v>68</v>
      </c>
      <c r="K476" t="s">
        <v>68</v>
      </c>
      <c r="L476">
        <v>0</v>
      </c>
      <c r="M476">
        <v>0</v>
      </c>
      <c r="N476">
        <v>0</v>
      </c>
      <c r="O476">
        <v>0</v>
      </c>
      <c r="P476">
        <v>1450</v>
      </c>
      <c r="Q476">
        <v>1720</v>
      </c>
      <c r="R476" t="s">
        <v>63</v>
      </c>
      <c r="S476" t="s">
        <v>63</v>
      </c>
    </row>
    <row r="477" spans="1:19" x14ac:dyDescent="0.4">
      <c r="A477" t="s">
        <v>67</v>
      </c>
      <c r="B477">
        <v>202203</v>
      </c>
      <c r="C477">
        <v>15400</v>
      </c>
      <c r="D477" t="s">
        <v>64</v>
      </c>
      <c r="E477" t="s">
        <v>63</v>
      </c>
      <c r="F477" t="s">
        <v>63</v>
      </c>
      <c r="G477" t="s">
        <v>63</v>
      </c>
      <c r="H477" t="s">
        <v>63</v>
      </c>
      <c r="I477">
        <v>457</v>
      </c>
      <c r="J477" t="s">
        <v>68</v>
      </c>
      <c r="K477" t="s">
        <v>68</v>
      </c>
      <c r="L477">
        <v>0</v>
      </c>
      <c r="M477">
        <v>0</v>
      </c>
      <c r="N477">
        <v>0</v>
      </c>
      <c r="O477">
        <v>29</v>
      </c>
      <c r="P477">
        <v>428</v>
      </c>
      <c r="Q477">
        <v>467</v>
      </c>
      <c r="R477">
        <v>640</v>
      </c>
      <c r="S477">
        <v>375</v>
      </c>
    </row>
    <row r="478" spans="1:19" x14ac:dyDescent="0.4">
      <c r="A478" t="s">
        <v>67</v>
      </c>
      <c r="B478">
        <v>202203</v>
      </c>
      <c r="C478">
        <v>15600</v>
      </c>
      <c r="D478" t="s">
        <v>62</v>
      </c>
      <c r="E478">
        <v>1490</v>
      </c>
      <c r="F478">
        <v>1490</v>
      </c>
      <c r="G478">
        <v>1490</v>
      </c>
      <c r="H478">
        <v>1490</v>
      </c>
      <c r="I478">
        <v>1460</v>
      </c>
      <c r="J478" t="s">
        <v>73</v>
      </c>
      <c r="K478" s="28">
        <v>0</v>
      </c>
      <c r="L478">
        <v>0</v>
      </c>
      <c r="M478">
        <v>1</v>
      </c>
      <c r="N478">
        <v>1</v>
      </c>
      <c r="O478">
        <v>4</v>
      </c>
      <c r="P478">
        <v>1410</v>
      </c>
      <c r="Q478">
        <v>1470</v>
      </c>
      <c r="R478">
        <v>2080</v>
      </c>
      <c r="S478">
        <v>1320</v>
      </c>
    </row>
    <row r="479" spans="1:19" x14ac:dyDescent="0.4">
      <c r="A479" t="s">
        <v>67</v>
      </c>
      <c r="B479">
        <v>202203</v>
      </c>
      <c r="C479">
        <v>15600</v>
      </c>
      <c r="D479" t="s">
        <v>64</v>
      </c>
      <c r="E479" t="s">
        <v>63</v>
      </c>
      <c r="F479" t="s">
        <v>63</v>
      </c>
      <c r="G479" t="s">
        <v>63</v>
      </c>
      <c r="H479" t="s">
        <v>63</v>
      </c>
      <c r="I479">
        <v>510</v>
      </c>
      <c r="J479" t="s">
        <v>68</v>
      </c>
      <c r="K479" t="s">
        <v>68</v>
      </c>
      <c r="L479">
        <v>0</v>
      </c>
      <c r="M479">
        <v>0</v>
      </c>
      <c r="N479">
        <v>0</v>
      </c>
      <c r="O479">
        <v>54</v>
      </c>
      <c r="P479">
        <v>485</v>
      </c>
      <c r="Q479">
        <v>520</v>
      </c>
      <c r="R479">
        <v>870</v>
      </c>
      <c r="S479">
        <v>390</v>
      </c>
    </row>
    <row r="480" spans="1:19" x14ac:dyDescent="0.4">
      <c r="A480" t="s">
        <v>67</v>
      </c>
      <c r="B480">
        <v>202203</v>
      </c>
      <c r="C480">
        <v>15800</v>
      </c>
      <c r="D480" t="s">
        <v>62</v>
      </c>
      <c r="E480" t="s">
        <v>63</v>
      </c>
      <c r="F480" t="s">
        <v>63</v>
      </c>
      <c r="G480" t="s">
        <v>63</v>
      </c>
      <c r="H480" t="s">
        <v>63</v>
      </c>
      <c r="I480">
        <v>1320</v>
      </c>
      <c r="J480" t="s">
        <v>68</v>
      </c>
      <c r="K480" t="s">
        <v>68</v>
      </c>
      <c r="L480">
        <v>0</v>
      </c>
      <c r="M480">
        <v>0</v>
      </c>
      <c r="N480">
        <v>0</v>
      </c>
      <c r="O480">
        <v>4</v>
      </c>
      <c r="P480">
        <v>1260</v>
      </c>
      <c r="Q480">
        <v>1430</v>
      </c>
      <c r="R480">
        <v>1850</v>
      </c>
      <c r="S480">
        <v>1160</v>
      </c>
    </row>
    <row r="481" spans="1:19" x14ac:dyDescent="0.4">
      <c r="A481" t="s">
        <v>67</v>
      </c>
      <c r="B481">
        <v>202203</v>
      </c>
      <c r="C481">
        <v>15800</v>
      </c>
      <c r="D481" t="s">
        <v>64</v>
      </c>
      <c r="E481" t="s">
        <v>63</v>
      </c>
      <c r="F481" t="s">
        <v>63</v>
      </c>
      <c r="G481" t="s">
        <v>63</v>
      </c>
      <c r="H481" t="s">
        <v>63</v>
      </c>
      <c r="I481">
        <v>575</v>
      </c>
      <c r="J481" t="s">
        <v>68</v>
      </c>
      <c r="K481" t="s">
        <v>68</v>
      </c>
      <c r="L481">
        <v>0</v>
      </c>
      <c r="M481">
        <v>0</v>
      </c>
      <c r="N481">
        <v>0</v>
      </c>
      <c r="O481">
        <v>32</v>
      </c>
      <c r="P481">
        <v>414</v>
      </c>
      <c r="Q481">
        <v>690</v>
      </c>
      <c r="R481">
        <v>900</v>
      </c>
      <c r="S481">
        <v>427</v>
      </c>
    </row>
    <row r="482" spans="1:19" x14ac:dyDescent="0.4">
      <c r="A482" t="s">
        <v>67</v>
      </c>
      <c r="B482">
        <v>202203</v>
      </c>
      <c r="C482">
        <v>16000</v>
      </c>
      <c r="D482" t="s">
        <v>62</v>
      </c>
      <c r="E482">
        <v>1220</v>
      </c>
      <c r="F482">
        <v>1220</v>
      </c>
      <c r="G482">
        <v>1220</v>
      </c>
      <c r="H482">
        <v>1220</v>
      </c>
      <c r="I482">
        <v>1190</v>
      </c>
      <c r="J482" t="s">
        <v>142</v>
      </c>
      <c r="K482" t="s">
        <v>416</v>
      </c>
      <c r="L482">
        <v>0</v>
      </c>
      <c r="M482">
        <v>1</v>
      </c>
      <c r="N482">
        <v>1</v>
      </c>
      <c r="O482">
        <v>40</v>
      </c>
      <c r="P482">
        <v>1020</v>
      </c>
      <c r="Q482">
        <v>1290</v>
      </c>
      <c r="R482">
        <v>1800</v>
      </c>
      <c r="S482">
        <v>910</v>
      </c>
    </row>
    <row r="483" spans="1:19" x14ac:dyDescent="0.4">
      <c r="A483" t="s">
        <v>67</v>
      </c>
      <c r="B483">
        <v>202203</v>
      </c>
      <c r="C483">
        <v>16000</v>
      </c>
      <c r="D483" t="s">
        <v>64</v>
      </c>
      <c r="E483" t="s">
        <v>63</v>
      </c>
      <c r="F483" t="s">
        <v>63</v>
      </c>
      <c r="G483" t="s">
        <v>63</v>
      </c>
      <c r="H483" t="s">
        <v>63</v>
      </c>
      <c r="I483">
        <v>640</v>
      </c>
      <c r="J483" t="s">
        <v>68</v>
      </c>
      <c r="K483" t="s">
        <v>68</v>
      </c>
      <c r="L483">
        <v>0</v>
      </c>
      <c r="M483">
        <v>0</v>
      </c>
      <c r="N483">
        <v>0</v>
      </c>
      <c r="O483">
        <v>51</v>
      </c>
      <c r="P483">
        <v>590</v>
      </c>
      <c r="Q483">
        <v>640</v>
      </c>
      <c r="R483">
        <v>1020</v>
      </c>
      <c r="S483">
        <v>486</v>
      </c>
    </row>
    <row r="484" spans="1:19" x14ac:dyDescent="0.4">
      <c r="A484" t="s">
        <v>67</v>
      </c>
      <c r="B484">
        <v>202203</v>
      </c>
      <c r="C484">
        <v>16200</v>
      </c>
      <c r="D484" t="s">
        <v>62</v>
      </c>
      <c r="E484" t="s">
        <v>63</v>
      </c>
      <c r="F484" t="s">
        <v>63</v>
      </c>
      <c r="G484" t="s">
        <v>63</v>
      </c>
      <c r="H484" t="s">
        <v>63</v>
      </c>
      <c r="I484">
        <v>1060</v>
      </c>
      <c r="J484" t="s">
        <v>68</v>
      </c>
      <c r="K484" s="28" t="s">
        <v>68</v>
      </c>
      <c r="L484">
        <v>0</v>
      </c>
      <c r="M484">
        <v>0</v>
      </c>
      <c r="N484">
        <v>0</v>
      </c>
      <c r="O484">
        <v>5</v>
      </c>
      <c r="P484">
        <v>890</v>
      </c>
      <c r="Q484">
        <v>1160</v>
      </c>
      <c r="R484">
        <v>1600</v>
      </c>
      <c r="S484">
        <v>865</v>
      </c>
    </row>
    <row r="485" spans="1:19" x14ac:dyDescent="0.4">
      <c r="A485" t="s">
        <v>67</v>
      </c>
      <c r="B485">
        <v>202203</v>
      </c>
      <c r="C485">
        <v>16200</v>
      </c>
      <c r="D485" t="s">
        <v>64</v>
      </c>
      <c r="E485" t="s">
        <v>63</v>
      </c>
      <c r="F485" t="s">
        <v>63</v>
      </c>
      <c r="G485" t="s">
        <v>63</v>
      </c>
      <c r="H485" t="s">
        <v>63</v>
      </c>
      <c r="I485">
        <v>710</v>
      </c>
      <c r="J485" t="s">
        <v>68</v>
      </c>
      <c r="K485" t="s">
        <v>68</v>
      </c>
      <c r="L485">
        <v>0</v>
      </c>
      <c r="M485">
        <v>0</v>
      </c>
      <c r="N485">
        <v>0</v>
      </c>
      <c r="O485">
        <v>39</v>
      </c>
      <c r="P485">
        <v>660</v>
      </c>
      <c r="Q485">
        <v>710</v>
      </c>
      <c r="R485">
        <v>970</v>
      </c>
      <c r="S485">
        <v>540</v>
      </c>
    </row>
    <row r="486" spans="1:19" x14ac:dyDescent="0.4">
      <c r="A486" t="s">
        <v>67</v>
      </c>
      <c r="B486">
        <v>202203</v>
      </c>
      <c r="C486">
        <v>16400</v>
      </c>
      <c r="D486" t="s">
        <v>62</v>
      </c>
      <c r="E486">
        <v>955</v>
      </c>
      <c r="F486">
        <v>955</v>
      </c>
      <c r="G486">
        <v>910</v>
      </c>
      <c r="H486">
        <v>910</v>
      </c>
      <c r="I486">
        <v>910</v>
      </c>
      <c r="J486" t="s">
        <v>270</v>
      </c>
      <c r="K486" t="s">
        <v>528</v>
      </c>
      <c r="L486">
        <v>0</v>
      </c>
      <c r="M486">
        <v>24</v>
      </c>
      <c r="N486">
        <v>24</v>
      </c>
      <c r="O486">
        <v>50</v>
      </c>
      <c r="P486">
        <v>880</v>
      </c>
      <c r="Q486">
        <v>930</v>
      </c>
      <c r="R486">
        <v>1500</v>
      </c>
      <c r="S486">
        <v>685</v>
      </c>
    </row>
    <row r="487" spans="1:19" x14ac:dyDescent="0.4">
      <c r="A487" t="s">
        <v>67</v>
      </c>
      <c r="B487">
        <v>202203</v>
      </c>
      <c r="C487">
        <v>16400</v>
      </c>
      <c r="D487" t="s">
        <v>64</v>
      </c>
      <c r="E487" t="s">
        <v>63</v>
      </c>
      <c r="F487" t="s">
        <v>63</v>
      </c>
      <c r="G487" t="s">
        <v>63</v>
      </c>
      <c r="H487" t="s">
        <v>63</v>
      </c>
      <c r="I487">
        <v>760</v>
      </c>
      <c r="J487" t="s">
        <v>68</v>
      </c>
      <c r="K487" t="s">
        <v>68</v>
      </c>
      <c r="L487">
        <v>0</v>
      </c>
      <c r="M487">
        <v>0</v>
      </c>
      <c r="N487">
        <v>0</v>
      </c>
      <c r="O487">
        <v>121</v>
      </c>
      <c r="P487">
        <v>735</v>
      </c>
      <c r="Q487">
        <v>790</v>
      </c>
      <c r="R487">
        <v>1080</v>
      </c>
      <c r="S487">
        <v>585</v>
      </c>
    </row>
    <row r="488" spans="1:19" x14ac:dyDescent="0.4">
      <c r="A488" t="s">
        <v>67</v>
      </c>
      <c r="B488">
        <v>202203</v>
      </c>
      <c r="C488">
        <v>16600</v>
      </c>
      <c r="D488" t="s">
        <v>62</v>
      </c>
      <c r="E488" t="s">
        <v>63</v>
      </c>
      <c r="F488" t="s">
        <v>63</v>
      </c>
      <c r="G488" t="s">
        <v>63</v>
      </c>
      <c r="H488" t="s">
        <v>63</v>
      </c>
      <c r="I488">
        <v>815</v>
      </c>
      <c r="J488" t="s">
        <v>68</v>
      </c>
      <c r="K488" t="s">
        <v>68</v>
      </c>
      <c r="L488">
        <v>0</v>
      </c>
      <c r="M488">
        <v>0</v>
      </c>
      <c r="N488">
        <v>0</v>
      </c>
      <c r="O488">
        <v>20</v>
      </c>
      <c r="P488">
        <v>765</v>
      </c>
      <c r="Q488">
        <v>815</v>
      </c>
      <c r="R488">
        <v>1210</v>
      </c>
      <c r="S488">
        <v>600</v>
      </c>
    </row>
    <row r="489" spans="1:19" x14ac:dyDescent="0.4">
      <c r="A489" t="s">
        <v>67</v>
      </c>
      <c r="B489">
        <v>202203</v>
      </c>
      <c r="C489">
        <v>16600</v>
      </c>
      <c r="D489" t="s">
        <v>64</v>
      </c>
      <c r="E489">
        <v>805</v>
      </c>
      <c r="F489">
        <v>805</v>
      </c>
      <c r="G489">
        <v>805</v>
      </c>
      <c r="H489">
        <v>805</v>
      </c>
      <c r="I489">
        <v>865</v>
      </c>
      <c r="J489" t="s">
        <v>87</v>
      </c>
      <c r="K489" t="s">
        <v>488</v>
      </c>
      <c r="L489">
        <v>0</v>
      </c>
      <c r="M489">
        <v>1</v>
      </c>
      <c r="N489">
        <v>1</v>
      </c>
      <c r="O489">
        <v>28</v>
      </c>
      <c r="P489">
        <v>825</v>
      </c>
      <c r="Q489">
        <v>875</v>
      </c>
      <c r="R489">
        <v>1000</v>
      </c>
      <c r="S489">
        <v>650</v>
      </c>
    </row>
    <row r="490" spans="1:19" x14ac:dyDescent="0.4">
      <c r="A490" t="s">
        <v>67</v>
      </c>
      <c r="B490">
        <v>202203</v>
      </c>
      <c r="C490">
        <v>16800</v>
      </c>
      <c r="D490" t="s">
        <v>62</v>
      </c>
      <c r="E490" t="s">
        <v>63</v>
      </c>
      <c r="F490" t="s">
        <v>63</v>
      </c>
      <c r="G490" t="s">
        <v>63</v>
      </c>
      <c r="H490" t="s">
        <v>63</v>
      </c>
      <c r="I490">
        <v>710</v>
      </c>
      <c r="J490" t="s">
        <v>68</v>
      </c>
      <c r="K490" t="s">
        <v>68</v>
      </c>
      <c r="L490">
        <v>0</v>
      </c>
      <c r="M490">
        <v>0</v>
      </c>
      <c r="N490">
        <v>0</v>
      </c>
      <c r="O490">
        <v>67</v>
      </c>
      <c r="P490">
        <v>660</v>
      </c>
      <c r="Q490">
        <v>710</v>
      </c>
      <c r="R490">
        <v>1210</v>
      </c>
      <c r="S490">
        <v>515</v>
      </c>
    </row>
    <row r="491" spans="1:19" x14ac:dyDescent="0.4">
      <c r="A491" t="s">
        <v>67</v>
      </c>
      <c r="B491">
        <v>202203</v>
      </c>
      <c r="C491">
        <v>16800</v>
      </c>
      <c r="D491" t="s">
        <v>64</v>
      </c>
      <c r="E491" t="s">
        <v>63</v>
      </c>
      <c r="F491" t="s">
        <v>63</v>
      </c>
      <c r="G491" t="s">
        <v>63</v>
      </c>
      <c r="H491" t="s">
        <v>63</v>
      </c>
      <c r="I491">
        <v>960</v>
      </c>
      <c r="J491" t="s">
        <v>68</v>
      </c>
      <c r="K491" t="s">
        <v>68</v>
      </c>
      <c r="L491">
        <v>0</v>
      </c>
      <c r="M491">
        <v>0</v>
      </c>
      <c r="N491">
        <v>0</v>
      </c>
      <c r="O491">
        <v>49</v>
      </c>
      <c r="P491">
        <v>910</v>
      </c>
      <c r="Q491">
        <v>965</v>
      </c>
      <c r="R491">
        <v>1370</v>
      </c>
      <c r="S491">
        <v>730</v>
      </c>
    </row>
    <row r="492" spans="1:19" x14ac:dyDescent="0.4">
      <c r="A492" t="s">
        <v>67</v>
      </c>
      <c r="B492">
        <v>202203</v>
      </c>
      <c r="C492">
        <v>17000</v>
      </c>
      <c r="D492" t="s">
        <v>62</v>
      </c>
      <c r="E492" t="s">
        <v>63</v>
      </c>
      <c r="F492" t="s">
        <v>63</v>
      </c>
      <c r="G492" t="s">
        <v>63</v>
      </c>
      <c r="H492" t="s">
        <v>63</v>
      </c>
      <c r="I492">
        <v>625</v>
      </c>
      <c r="J492" t="s">
        <v>68</v>
      </c>
      <c r="K492" t="s">
        <v>68</v>
      </c>
      <c r="L492">
        <v>0</v>
      </c>
      <c r="M492">
        <v>0</v>
      </c>
      <c r="N492">
        <v>0</v>
      </c>
      <c r="O492">
        <v>102</v>
      </c>
      <c r="P492">
        <v>565</v>
      </c>
      <c r="Q492">
        <v>725</v>
      </c>
      <c r="R492">
        <v>1120</v>
      </c>
      <c r="S492">
        <v>477</v>
      </c>
    </row>
    <row r="493" spans="1:19" x14ac:dyDescent="0.4">
      <c r="A493" t="s">
        <v>67</v>
      </c>
      <c r="B493">
        <v>202203</v>
      </c>
      <c r="C493">
        <v>17000</v>
      </c>
      <c r="D493" t="s">
        <v>64</v>
      </c>
      <c r="E493" t="s">
        <v>63</v>
      </c>
      <c r="F493" t="s">
        <v>63</v>
      </c>
      <c r="G493" t="s">
        <v>63</v>
      </c>
      <c r="H493" t="s">
        <v>63</v>
      </c>
      <c r="I493">
        <v>1070</v>
      </c>
      <c r="J493" t="s">
        <v>68</v>
      </c>
      <c r="K493" t="s">
        <v>68</v>
      </c>
      <c r="L493">
        <v>0</v>
      </c>
      <c r="M493">
        <v>0</v>
      </c>
      <c r="N493">
        <v>0</v>
      </c>
      <c r="O493">
        <v>45</v>
      </c>
      <c r="P493">
        <v>905</v>
      </c>
      <c r="Q493">
        <v>1160</v>
      </c>
      <c r="R493">
        <v>1500</v>
      </c>
      <c r="S493">
        <v>785</v>
      </c>
    </row>
    <row r="494" spans="1:19" x14ac:dyDescent="0.4">
      <c r="A494" t="s">
        <v>67</v>
      </c>
      <c r="B494">
        <v>202203</v>
      </c>
      <c r="C494">
        <v>17200</v>
      </c>
      <c r="D494" t="s">
        <v>62</v>
      </c>
      <c r="E494" t="s">
        <v>63</v>
      </c>
      <c r="F494" t="s">
        <v>63</v>
      </c>
      <c r="G494" t="s">
        <v>63</v>
      </c>
      <c r="H494" t="s">
        <v>63</v>
      </c>
      <c r="I494">
        <v>525</v>
      </c>
      <c r="J494" t="s">
        <v>68</v>
      </c>
      <c r="K494" t="s">
        <v>68</v>
      </c>
      <c r="L494">
        <v>0</v>
      </c>
      <c r="M494">
        <v>0</v>
      </c>
      <c r="N494">
        <v>0</v>
      </c>
      <c r="O494">
        <v>58</v>
      </c>
      <c r="P494">
        <v>479</v>
      </c>
      <c r="Q494">
        <v>525</v>
      </c>
      <c r="R494">
        <v>1120</v>
      </c>
      <c r="S494">
        <v>388</v>
      </c>
    </row>
    <row r="495" spans="1:19" x14ac:dyDescent="0.4">
      <c r="A495" t="s">
        <v>67</v>
      </c>
      <c r="B495">
        <v>202203</v>
      </c>
      <c r="C495">
        <v>17200</v>
      </c>
      <c r="D495" t="s">
        <v>64</v>
      </c>
      <c r="E495" t="s">
        <v>63</v>
      </c>
      <c r="F495" t="s">
        <v>63</v>
      </c>
      <c r="G495" t="s">
        <v>63</v>
      </c>
      <c r="H495" t="s">
        <v>63</v>
      </c>
      <c r="I495">
        <v>1170</v>
      </c>
      <c r="J495" t="s">
        <v>68</v>
      </c>
      <c r="K495" t="s">
        <v>68</v>
      </c>
      <c r="L495">
        <v>0</v>
      </c>
      <c r="M495">
        <v>0</v>
      </c>
      <c r="N495">
        <v>0</v>
      </c>
      <c r="O495">
        <v>4</v>
      </c>
      <c r="P495">
        <v>1020</v>
      </c>
      <c r="Q495">
        <v>1270</v>
      </c>
      <c r="R495">
        <v>1680</v>
      </c>
      <c r="S495">
        <v>900</v>
      </c>
    </row>
    <row r="496" spans="1:19" x14ac:dyDescent="0.4">
      <c r="A496" t="s">
        <v>67</v>
      </c>
      <c r="B496">
        <v>202203</v>
      </c>
      <c r="C496">
        <v>17400</v>
      </c>
      <c r="D496" t="s">
        <v>62</v>
      </c>
      <c r="E496" t="s">
        <v>63</v>
      </c>
      <c r="F496" t="s">
        <v>63</v>
      </c>
      <c r="G496" t="s">
        <v>63</v>
      </c>
      <c r="H496" t="s">
        <v>63</v>
      </c>
      <c r="I496">
        <v>439</v>
      </c>
      <c r="J496" t="s">
        <v>68</v>
      </c>
      <c r="K496" t="s">
        <v>68</v>
      </c>
      <c r="L496">
        <v>2</v>
      </c>
      <c r="M496">
        <v>0</v>
      </c>
      <c r="N496">
        <v>2</v>
      </c>
      <c r="O496">
        <v>49</v>
      </c>
      <c r="P496">
        <v>399</v>
      </c>
      <c r="Q496">
        <v>439</v>
      </c>
      <c r="R496">
        <v>995</v>
      </c>
      <c r="S496">
        <v>314</v>
      </c>
    </row>
    <row r="497" spans="1:19" x14ac:dyDescent="0.4">
      <c r="A497" t="s">
        <v>67</v>
      </c>
      <c r="B497">
        <v>202203</v>
      </c>
      <c r="C497">
        <v>17400</v>
      </c>
      <c r="D497" t="s">
        <v>64</v>
      </c>
      <c r="E497" t="s">
        <v>63</v>
      </c>
      <c r="F497" t="s">
        <v>63</v>
      </c>
      <c r="G497" t="s">
        <v>63</v>
      </c>
      <c r="H497" t="s">
        <v>63</v>
      </c>
      <c r="I497">
        <v>1290</v>
      </c>
      <c r="J497" t="s">
        <v>68</v>
      </c>
      <c r="K497" t="s">
        <v>68</v>
      </c>
      <c r="L497">
        <v>0</v>
      </c>
      <c r="M497">
        <v>0</v>
      </c>
      <c r="N497">
        <v>0</v>
      </c>
      <c r="O497">
        <v>8</v>
      </c>
      <c r="P497">
        <v>1140</v>
      </c>
      <c r="Q497">
        <v>1380</v>
      </c>
      <c r="R497">
        <v>1650</v>
      </c>
      <c r="S497">
        <v>980</v>
      </c>
    </row>
    <row r="498" spans="1:19" x14ac:dyDescent="0.4">
      <c r="A498" t="s">
        <v>67</v>
      </c>
      <c r="B498">
        <v>202203</v>
      </c>
      <c r="C498">
        <v>17600</v>
      </c>
      <c r="D498" t="s">
        <v>62</v>
      </c>
      <c r="E498">
        <v>391</v>
      </c>
      <c r="F498">
        <v>391</v>
      </c>
      <c r="G498">
        <v>391</v>
      </c>
      <c r="H498">
        <v>391</v>
      </c>
      <c r="I498">
        <v>379</v>
      </c>
      <c r="J498" t="s">
        <v>89</v>
      </c>
      <c r="K498" t="s">
        <v>479</v>
      </c>
      <c r="L498">
        <v>0</v>
      </c>
      <c r="M498">
        <v>4</v>
      </c>
      <c r="N498">
        <v>4</v>
      </c>
      <c r="O498">
        <v>48</v>
      </c>
      <c r="P498">
        <v>331</v>
      </c>
      <c r="Q498">
        <v>380</v>
      </c>
      <c r="R498">
        <v>870</v>
      </c>
      <c r="S498">
        <v>270</v>
      </c>
    </row>
    <row r="499" spans="1:19" x14ac:dyDescent="0.4">
      <c r="A499" t="s">
        <v>67</v>
      </c>
      <c r="B499">
        <v>202203</v>
      </c>
      <c r="C499">
        <v>17600</v>
      </c>
      <c r="D499" t="s">
        <v>64</v>
      </c>
      <c r="E499" t="s">
        <v>63</v>
      </c>
      <c r="F499" t="s">
        <v>63</v>
      </c>
      <c r="G499" t="s">
        <v>63</v>
      </c>
      <c r="H499" t="s">
        <v>63</v>
      </c>
      <c r="I499">
        <v>1430</v>
      </c>
      <c r="J499" t="s">
        <v>68</v>
      </c>
      <c r="K499" t="s">
        <v>68</v>
      </c>
      <c r="L499">
        <v>0</v>
      </c>
      <c r="M499">
        <v>0</v>
      </c>
      <c r="N499">
        <v>0</v>
      </c>
      <c r="O499">
        <v>2</v>
      </c>
      <c r="P499">
        <v>1280</v>
      </c>
      <c r="Q499">
        <v>1540</v>
      </c>
      <c r="R499">
        <v>1800</v>
      </c>
      <c r="S499">
        <v>1030</v>
      </c>
    </row>
    <row r="500" spans="1:19" x14ac:dyDescent="0.4">
      <c r="A500" t="s">
        <v>67</v>
      </c>
      <c r="B500">
        <v>202203</v>
      </c>
      <c r="C500">
        <v>17800</v>
      </c>
      <c r="D500" t="s">
        <v>62</v>
      </c>
      <c r="E500">
        <v>329</v>
      </c>
      <c r="F500">
        <v>329</v>
      </c>
      <c r="G500">
        <v>310</v>
      </c>
      <c r="H500">
        <v>312</v>
      </c>
      <c r="I500">
        <v>312</v>
      </c>
      <c r="J500" t="s">
        <v>111</v>
      </c>
      <c r="K500" t="s">
        <v>529</v>
      </c>
      <c r="L500">
        <v>0</v>
      </c>
      <c r="M500">
        <v>15</v>
      </c>
      <c r="N500">
        <v>15</v>
      </c>
      <c r="O500">
        <v>168</v>
      </c>
      <c r="P500">
        <v>270</v>
      </c>
      <c r="Q500">
        <v>319</v>
      </c>
      <c r="R500">
        <v>765</v>
      </c>
      <c r="S500">
        <v>239</v>
      </c>
    </row>
    <row r="501" spans="1:19" x14ac:dyDescent="0.4">
      <c r="A501" t="s">
        <v>67</v>
      </c>
      <c r="B501">
        <v>202203</v>
      </c>
      <c r="C501">
        <v>17800</v>
      </c>
      <c r="D501" t="s">
        <v>64</v>
      </c>
      <c r="E501" t="s">
        <v>63</v>
      </c>
      <c r="F501" t="s">
        <v>63</v>
      </c>
      <c r="G501" t="s">
        <v>63</v>
      </c>
      <c r="H501" t="s">
        <v>63</v>
      </c>
      <c r="I501">
        <v>1560</v>
      </c>
      <c r="J501" t="s">
        <v>68</v>
      </c>
      <c r="K501" t="s">
        <v>68</v>
      </c>
      <c r="L501">
        <v>0</v>
      </c>
      <c r="M501">
        <v>0</v>
      </c>
      <c r="N501">
        <v>0</v>
      </c>
      <c r="O501">
        <v>20</v>
      </c>
      <c r="P501">
        <v>1410</v>
      </c>
      <c r="Q501">
        <v>1690</v>
      </c>
      <c r="R501">
        <v>1470</v>
      </c>
      <c r="S501">
        <v>1300</v>
      </c>
    </row>
    <row r="502" spans="1:19" x14ac:dyDescent="0.4">
      <c r="A502" t="s">
        <v>67</v>
      </c>
      <c r="B502">
        <v>202203</v>
      </c>
      <c r="C502">
        <v>18000</v>
      </c>
      <c r="D502" t="s">
        <v>62</v>
      </c>
      <c r="E502">
        <v>278</v>
      </c>
      <c r="F502">
        <v>278</v>
      </c>
      <c r="G502">
        <v>278</v>
      </c>
      <c r="H502">
        <v>278</v>
      </c>
      <c r="I502">
        <v>249</v>
      </c>
      <c r="J502" t="s">
        <v>530</v>
      </c>
      <c r="K502" t="s">
        <v>531</v>
      </c>
      <c r="L502">
        <v>0</v>
      </c>
      <c r="M502">
        <v>1</v>
      </c>
      <c r="N502">
        <v>1</v>
      </c>
      <c r="O502">
        <v>121</v>
      </c>
      <c r="P502">
        <v>130</v>
      </c>
      <c r="Q502">
        <v>376</v>
      </c>
      <c r="R502">
        <v>620</v>
      </c>
      <c r="S502">
        <v>186</v>
      </c>
    </row>
    <row r="503" spans="1:19" x14ac:dyDescent="0.4">
      <c r="A503" t="s">
        <v>67</v>
      </c>
      <c r="B503">
        <v>202203</v>
      </c>
      <c r="C503">
        <v>18000</v>
      </c>
      <c r="D503" t="s">
        <v>64</v>
      </c>
      <c r="E503" t="s">
        <v>63</v>
      </c>
      <c r="F503" t="s">
        <v>63</v>
      </c>
      <c r="G503" t="s">
        <v>63</v>
      </c>
      <c r="H503" t="s">
        <v>63</v>
      </c>
      <c r="I503">
        <v>1690</v>
      </c>
      <c r="J503" t="s">
        <v>68</v>
      </c>
      <c r="K503" t="s">
        <v>68</v>
      </c>
      <c r="L503">
        <v>0</v>
      </c>
      <c r="M503">
        <v>0</v>
      </c>
      <c r="N503">
        <v>0</v>
      </c>
      <c r="O503">
        <v>0</v>
      </c>
      <c r="P503">
        <v>1550</v>
      </c>
      <c r="Q503">
        <v>1830</v>
      </c>
      <c r="R503" t="s">
        <v>63</v>
      </c>
      <c r="S503" t="s">
        <v>63</v>
      </c>
    </row>
    <row r="504" spans="1:19" x14ac:dyDescent="0.4">
      <c r="A504" t="s">
        <v>67</v>
      </c>
      <c r="B504">
        <v>202203</v>
      </c>
      <c r="C504">
        <v>18200</v>
      </c>
      <c r="D504" t="s">
        <v>62</v>
      </c>
      <c r="E504">
        <v>207</v>
      </c>
      <c r="F504">
        <v>207</v>
      </c>
      <c r="G504">
        <v>194</v>
      </c>
      <c r="H504">
        <v>194</v>
      </c>
      <c r="I504">
        <v>194</v>
      </c>
      <c r="J504" t="s">
        <v>140</v>
      </c>
      <c r="K504" t="s">
        <v>302</v>
      </c>
      <c r="L504">
        <v>1</v>
      </c>
      <c r="M504">
        <v>13</v>
      </c>
      <c r="N504">
        <v>14</v>
      </c>
      <c r="O504">
        <v>62</v>
      </c>
      <c r="P504">
        <v>177</v>
      </c>
      <c r="Q504">
        <v>211</v>
      </c>
      <c r="R504">
        <v>550</v>
      </c>
      <c r="S504">
        <v>160</v>
      </c>
    </row>
    <row r="505" spans="1:19" x14ac:dyDescent="0.4">
      <c r="A505" t="s">
        <v>67</v>
      </c>
      <c r="B505">
        <v>202203</v>
      </c>
      <c r="C505">
        <v>18200</v>
      </c>
      <c r="D505" t="s">
        <v>64</v>
      </c>
      <c r="E505" t="s">
        <v>63</v>
      </c>
      <c r="F505" t="s">
        <v>63</v>
      </c>
      <c r="G505" t="s">
        <v>63</v>
      </c>
      <c r="H505" t="s">
        <v>63</v>
      </c>
      <c r="I505">
        <v>1840</v>
      </c>
      <c r="J505" t="s">
        <v>68</v>
      </c>
      <c r="K505" t="s">
        <v>68</v>
      </c>
      <c r="L505">
        <v>0</v>
      </c>
      <c r="M505">
        <v>0</v>
      </c>
      <c r="N505">
        <v>0</v>
      </c>
      <c r="O505">
        <v>0</v>
      </c>
      <c r="P505">
        <v>1700</v>
      </c>
      <c r="Q505">
        <v>1980</v>
      </c>
      <c r="R505" t="s">
        <v>63</v>
      </c>
      <c r="S505" t="s">
        <v>63</v>
      </c>
    </row>
    <row r="506" spans="1:19" x14ac:dyDescent="0.4">
      <c r="A506" t="s">
        <v>67</v>
      </c>
      <c r="B506">
        <v>202203</v>
      </c>
      <c r="C506">
        <v>18400</v>
      </c>
      <c r="D506" t="s">
        <v>62</v>
      </c>
      <c r="E506" t="s">
        <v>63</v>
      </c>
      <c r="F506" t="s">
        <v>63</v>
      </c>
      <c r="G506" t="s">
        <v>63</v>
      </c>
      <c r="H506" t="s">
        <v>63</v>
      </c>
      <c r="I506">
        <v>163</v>
      </c>
      <c r="J506" t="s">
        <v>68</v>
      </c>
      <c r="K506" t="s">
        <v>68</v>
      </c>
      <c r="L506">
        <v>0</v>
      </c>
      <c r="M506">
        <v>0</v>
      </c>
      <c r="N506">
        <v>0</v>
      </c>
      <c r="O506">
        <v>19</v>
      </c>
      <c r="P506">
        <v>57</v>
      </c>
      <c r="Q506">
        <v>296</v>
      </c>
      <c r="R506">
        <v>545</v>
      </c>
      <c r="S506">
        <v>131</v>
      </c>
    </row>
    <row r="507" spans="1:19" x14ac:dyDescent="0.4">
      <c r="A507" t="s">
        <v>67</v>
      </c>
      <c r="B507">
        <v>202203</v>
      </c>
      <c r="C507">
        <v>18400</v>
      </c>
      <c r="D507" t="s">
        <v>64</v>
      </c>
      <c r="E507" t="s">
        <v>63</v>
      </c>
      <c r="F507" t="s">
        <v>63</v>
      </c>
      <c r="G507" t="s">
        <v>63</v>
      </c>
      <c r="H507" t="s">
        <v>63</v>
      </c>
      <c r="I507">
        <v>2010</v>
      </c>
      <c r="J507" t="s">
        <v>68</v>
      </c>
      <c r="K507" t="s">
        <v>68</v>
      </c>
      <c r="L507">
        <v>0</v>
      </c>
      <c r="M507">
        <v>0</v>
      </c>
      <c r="N507">
        <v>0</v>
      </c>
      <c r="O507">
        <v>0</v>
      </c>
      <c r="P507">
        <v>1860</v>
      </c>
      <c r="Q507">
        <v>2140</v>
      </c>
      <c r="R507" t="s">
        <v>63</v>
      </c>
      <c r="S507" t="s">
        <v>63</v>
      </c>
    </row>
    <row r="508" spans="1:19" x14ac:dyDescent="0.4">
      <c r="A508" t="s">
        <v>67</v>
      </c>
      <c r="B508">
        <v>202203</v>
      </c>
      <c r="C508">
        <v>18600</v>
      </c>
      <c r="D508" t="s">
        <v>62</v>
      </c>
      <c r="E508" t="s">
        <v>63</v>
      </c>
      <c r="F508" t="s">
        <v>63</v>
      </c>
      <c r="G508" t="s">
        <v>63</v>
      </c>
      <c r="H508" t="s">
        <v>63</v>
      </c>
      <c r="I508">
        <v>137</v>
      </c>
      <c r="J508" t="s">
        <v>68</v>
      </c>
      <c r="K508" t="s">
        <v>68</v>
      </c>
      <c r="L508">
        <v>0</v>
      </c>
      <c r="M508">
        <v>0</v>
      </c>
      <c r="N508">
        <v>0</v>
      </c>
      <c r="O508">
        <v>145</v>
      </c>
      <c r="P508">
        <v>109</v>
      </c>
      <c r="Q508">
        <v>142</v>
      </c>
      <c r="R508">
        <v>464</v>
      </c>
      <c r="S508">
        <v>99</v>
      </c>
    </row>
    <row r="509" spans="1:19" x14ac:dyDescent="0.4">
      <c r="A509" t="s">
        <v>67</v>
      </c>
      <c r="B509">
        <v>202203</v>
      </c>
      <c r="C509">
        <v>18600</v>
      </c>
      <c r="D509" t="s">
        <v>64</v>
      </c>
      <c r="E509" t="s">
        <v>63</v>
      </c>
      <c r="F509" t="s">
        <v>63</v>
      </c>
      <c r="G509" t="s">
        <v>63</v>
      </c>
      <c r="H509" t="s">
        <v>63</v>
      </c>
      <c r="I509">
        <v>2180</v>
      </c>
      <c r="J509" t="s">
        <v>68</v>
      </c>
      <c r="K509" t="s">
        <v>68</v>
      </c>
      <c r="L509">
        <v>0</v>
      </c>
      <c r="M509">
        <v>0</v>
      </c>
      <c r="N509">
        <v>0</v>
      </c>
      <c r="O509">
        <v>0</v>
      </c>
      <c r="P509">
        <v>2030</v>
      </c>
      <c r="Q509">
        <v>2310</v>
      </c>
      <c r="R509" t="s">
        <v>63</v>
      </c>
      <c r="S509" t="s">
        <v>63</v>
      </c>
    </row>
    <row r="510" spans="1:19" x14ac:dyDescent="0.4">
      <c r="A510" t="s">
        <v>67</v>
      </c>
      <c r="B510">
        <v>202203</v>
      </c>
      <c r="C510">
        <v>18800</v>
      </c>
      <c r="D510" t="s">
        <v>62</v>
      </c>
      <c r="E510" t="s">
        <v>63</v>
      </c>
      <c r="F510" t="s">
        <v>63</v>
      </c>
      <c r="G510" t="s">
        <v>63</v>
      </c>
      <c r="H510" t="s">
        <v>63</v>
      </c>
      <c r="I510">
        <v>114</v>
      </c>
      <c r="J510" t="s">
        <v>68</v>
      </c>
      <c r="K510" t="s">
        <v>68</v>
      </c>
      <c r="L510">
        <v>0</v>
      </c>
      <c r="M510">
        <v>0</v>
      </c>
      <c r="N510">
        <v>0</v>
      </c>
      <c r="O510">
        <v>44</v>
      </c>
      <c r="P510">
        <v>35.5</v>
      </c>
      <c r="Q510">
        <v>243</v>
      </c>
      <c r="R510">
        <v>310</v>
      </c>
      <c r="S510">
        <v>84</v>
      </c>
    </row>
    <row r="511" spans="1:19" x14ac:dyDescent="0.4">
      <c r="A511" t="s">
        <v>67</v>
      </c>
      <c r="B511">
        <v>202203</v>
      </c>
      <c r="C511">
        <v>18800</v>
      </c>
      <c r="D511" t="s">
        <v>64</v>
      </c>
      <c r="E511" t="s">
        <v>63</v>
      </c>
      <c r="F511" t="s">
        <v>63</v>
      </c>
      <c r="G511" t="s">
        <v>63</v>
      </c>
      <c r="H511" t="s">
        <v>63</v>
      </c>
      <c r="I511">
        <v>2360</v>
      </c>
      <c r="J511" t="s">
        <v>68</v>
      </c>
      <c r="K511" t="s">
        <v>68</v>
      </c>
      <c r="L511">
        <v>0</v>
      </c>
      <c r="M511">
        <v>0</v>
      </c>
      <c r="N511">
        <v>0</v>
      </c>
      <c r="O511">
        <v>0</v>
      </c>
      <c r="P511">
        <v>2200</v>
      </c>
      <c r="Q511">
        <v>2490</v>
      </c>
      <c r="R511" t="s">
        <v>63</v>
      </c>
      <c r="S511" t="s">
        <v>63</v>
      </c>
    </row>
    <row r="512" spans="1:19" x14ac:dyDescent="0.4">
      <c r="A512" t="s">
        <v>67</v>
      </c>
      <c r="B512">
        <v>202203</v>
      </c>
      <c r="C512">
        <v>19000</v>
      </c>
      <c r="D512" t="s">
        <v>62</v>
      </c>
      <c r="E512" t="s">
        <v>63</v>
      </c>
      <c r="F512" t="s">
        <v>63</v>
      </c>
      <c r="G512" t="s">
        <v>63</v>
      </c>
      <c r="H512" t="s">
        <v>63</v>
      </c>
      <c r="I512">
        <v>95</v>
      </c>
      <c r="J512" t="s">
        <v>68</v>
      </c>
      <c r="K512" t="s">
        <v>68</v>
      </c>
      <c r="L512">
        <v>1</v>
      </c>
      <c r="M512">
        <v>0</v>
      </c>
      <c r="N512">
        <v>1</v>
      </c>
      <c r="O512">
        <v>89</v>
      </c>
      <c r="P512">
        <v>7.4</v>
      </c>
      <c r="Q512">
        <v>225</v>
      </c>
      <c r="R512">
        <v>355</v>
      </c>
      <c r="S512">
        <v>71</v>
      </c>
    </row>
    <row r="513" spans="1:19" x14ac:dyDescent="0.4">
      <c r="A513" t="s">
        <v>67</v>
      </c>
      <c r="B513">
        <v>202203</v>
      </c>
      <c r="C513">
        <v>19000</v>
      </c>
      <c r="D513" t="s">
        <v>64</v>
      </c>
      <c r="E513" t="s">
        <v>63</v>
      </c>
      <c r="F513" t="s">
        <v>63</v>
      </c>
      <c r="G513" t="s">
        <v>63</v>
      </c>
      <c r="H513" t="s">
        <v>63</v>
      </c>
      <c r="I513">
        <v>2540</v>
      </c>
      <c r="J513" t="s">
        <v>68</v>
      </c>
      <c r="K513" t="s">
        <v>68</v>
      </c>
      <c r="L513">
        <v>0</v>
      </c>
      <c r="M513">
        <v>0</v>
      </c>
      <c r="N513">
        <v>0</v>
      </c>
      <c r="O513">
        <v>0</v>
      </c>
      <c r="P513">
        <v>2380</v>
      </c>
      <c r="Q513">
        <v>2670</v>
      </c>
      <c r="R513" t="s">
        <v>63</v>
      </c>
      <c r="S513" t="s">
        <v>63</v>
      </c>
    </row>
    <row r="514" spans="1:19" x14ac:dyDescent="0.4">
      <c r="A514" t="s">
        <v>67</v>
      </c>
      <c r="B514">
        <v>202203</v>
      </c>
      <c r="C514">
        <v>19200</v>
      </c>
      <c r="D514" t="s">
        <v>62</v>
      </c>
      <c r="E514" t="s">
        <v>63</v>
      </c>
      <c r="F514" t="s">
        <v>63</v>
      </c>
      <c r="G514" t="s">
        <v>63</v>
      </c>
      <c r="H514" t="s">
        <v>63</v>
      </c>
      <c r="I514">
        <v>77</v>
      </c>
      <c r="J514" t="s">
        <v>68</v>
      </c>
      <c r="K514" t="s">
        <v>68</v>
      </c>
      <c r="L514">
        <v>0</v>
      </c>
      <c r="M514">
        <v>0</v>
      </c>
      <c r="N514">
        <v>0</v>
      </c>
      <c r="O514">
        <v>39</v>
      </c>
      <c r="P514">
        <v>6.4</v>
      </c>
      <c r="Q514">
        <v>77</v>
      </c>
      <c r="R514">
        <v>260</v>
      </c>
      <c r="S514">
        <v>63</v>
      </c>
    </row>
    <row r="515" spans="1:19" x14ac:dyDescent="0.4">
      <c r="A515" t="s">
        <v>67</v>
      </c>
      <c r="B515">
        <v>202203</v>
      </c>
      <c r="C515">
        <v>19200</v>
      </c>
      <c r="D515" t="s">
        <v>64</v>
      </c>
      <c r="E515" t="s">
        <v>63</v>
      </c>
      <c r="F515" t="s">
        <v>63</v>
      </c>
      <c r="G515" t="s">
        <v>63</v>
      </c>
      <c r="H515" t="s">
        <v>63</v>
      </c>
      <c r="I515">
        <v>2720</v>
      </c>
      <c r="J515" t="s">
        <v>68</v>
      </c>
      <c r="K515" t="s">
        <v>68</v>
      </c>
      <c r="L515">
        <v>0</v>
      </c>
      <c r="M515">
        <v>0</v>
      </c>
      <c r="N515">
        <v>0</v>
      </c>
      <c r="O515">
        <v>0</v>
      </c>
      <c r="P515">
        <v>2560</v>
      </c>
      <c r="Q515">
        <v>2850</v>
      </c>
      <c r="R515" t="s">
        <v>63</v>
      </c>
      <c r="S515" t="s">
        <v>63</v>
      </c>
    </row>
    <row r="516" spans="1:19" x14ac:dyDescent="0.4">
      <c r="A516" t="s">
        <v>67</v>
      </c>
      <c r="B516">
        <v>202203</v>
      </c>
      <c r="C516">
        <v>19400</v>
      </c>
      <c r="D516" t="s">
        <v>62</v>
      </c>
      <c r="E516" t="s">
        <v>63</v>
      </c>
      <c r="F516" t="s">
        <v>63</v>
      </c>
      <c r="G516" t="s">
        <v>63</v>
      </c>
      <c r="H516" t="s">
        <v>63</v>
      </c>
      <c r="I516">
        <v>65</v>
      </c>
      <c r="J516" t="s">
        <v>68</v>
      </c>
      <c r="K516" t="s">
        <v>68</v>
      </c>
      <c r="L516">
        <v>0</v>
      </c>
      <c r="M516">
        <v>0</v>
      </c>
      <c r="N516">
        <v>0</v>
      </c>
      <c r="O516">
        <v>26</v>
      </c>
      <c r="P516">
        <v>5.4</v>
      </c>
      <c r="Q516">
        <v>72</v>
      </c>
      <c r="R516">
        <v>255</v>
      </c>
      <c r="S516">
        <v>50</v>
      </c>
    </row>
    <row r="517" spans="1:19" x14ac:dyDescent="0.4">
      <c r="A517" t="s">
        <v>67</v>
      </c>
      <c r="B517">
        <v>202203</v>
      </c>
      <c r="C517">
        <v>19400</v>
      </c>
      <c r="D517" t="s">
        <v>64</v>
      </c>
      <c r="E517" t="s">
        <v>63</v>
      </c>
      <c r="F517" t="s">
        <v>63</v>
      </c>
      <c r="G517" t="s">
        <v>63</v>
      </c>
      <c r="H517" t="s">
        <v>63</v>
      </c>
      <c r="I517">
        <v>2910</v>
      </c>
      <c r="J517" t="s">
        <v>68</v>
      </c>
      <c r="K517" t="s">
        <v>68</v>
      </c>
      <c r="L517">
        <v>0</v>
      </c>
      <c r="M517">
        <v>0</v>
      </c>
      <c r="N517">
        <v>0</v>
      </c>
      <c r="O517">
        <v>0</v>
      </c>
      <c r="P517">
        <v>2750</v>
      </c>
      <c r="Q517">
        <v>3040</v>
      </c>
      <c r="R517" t="s">
        <v>63</v>
      </c>
      <c r="S517" t="s">
        <v>63</v>
      </c>
    </row>
    <row r="518" spans="1:19" x14ac:dyDescent="0.4">
      <c r="A518" t="s">
        <v>67</v>
      </c>
      <c r="B518">
        <v>202203</v>
      </c>
      <c r="C518">
        <v>19600</v>
      </c>
      <c r="D518" t="s">
        <v>62</v>
      </c>
      <c r="E518" t="s">
        <v>63</v>
      </c>
      <c r="F518" t="s">
        <v>63</v>
      </c>
      <c r="G518" t="s">
        <v>63</v>
      </c>
      <c r="H518" t="s">
        <v>63</v>
      </c>
      <c r="I518">
        <v>53</v>
      </c>
      <c r="J518" t="s">
        <v>68</v>
      </c>
      <c r="K518" t="s">
        <v>68</v>
      </c>
      <c r="L518">
        <v>0</v>
      </c>
      <c r="M518">
        <v>0</v>
      </c>
      <c r="N518">
        <v>0</v>
      </c>
      <c r="O518">
        <v>67</v>
      </c>
      <c r="P518">
        <v>35.5</v>
      </c>
      <c r="Q518">
        <v>63</v>
      </c>
      <c r="R518">
        <v>199</v>
      </c>
      <c r="S518">
        <v>55</v>
      </c>
    </row>
    <row r="519" spans="1:19" x14ac:dyDescent="0.4">
      <c r="A519" t="s">
        <v>67</v>
      </c>
      <c r="B519">
        <v>202203</v>
      </c>
      <c r="C519">
        <v>19600</v>
      </c>
      <c r="D519" t="s">
        <v>64</v>
      </c>
      <c r="E519" t="s">
        <v>63</v>
      </c>
      <c r="F519" t="s">
        <v>63</v>
      </c>
      <c r="G519" t="s">
        <v>63</v>
      </c>
      <c r="H519" t="s">
        <v>63</v>
      </c>
      <c r="I519">
        <v>3090</v>
      </c>
      <c r="J519" t="s">
        <v>68</v>
      </c>
      <c r="K519" t="s">
        <v>68</v>
      </c>
      <c r="L519">
        <v>0</v>
      </c>
      <c r="M519">
        <v>0</v>
      </c>
      <c r="N519">
        <v>0</v>
      </c>
      <c r="O519">
        <v>0</v>
      </c>
      <c r="P519">
        <v>2940</v>
      </c>
      <c r="Q519">
        <v>3230</v>
      </c>
      <c r="R519" t="s">
        <v>63</v>
      </c>
      <c r="S519" t="s">
        <v>63</v>
      </c>
    </row>
    <row r="520" spans="1:19" x14ac:dyDescent="0.4">
      <c r="A520" t="s">
        <v>67</v>
      </c>
      <c r="B520">
        <v>202203</v>
      </c>
      <c r="C520">
        <v>19800</v>
      </c>
      <c r="D520" t="s">
        <v>62</v>
      </c>
      <c r="E520" t="s">
        <v>63</v>
      </c>
      <c r="F520" t="s">
        <v>63</v>
      </c>
      <c r="G520" t="s">
        <v>63</v>
      </c>
      <c r="H520" t="s">
        <v>63</v>
      </c>
      <c r="I520">
        <v>44</v>
      </c>
      <c r="J520" t="s">
        <v>68</v>
      </c>
      <c r="K520" t="s">
        <v>68</v>
      </c>
      <c r="L520">
        <v>0</v>
      </c>
      <c r="M520">
        <v>0</v>
      </c>
      <c r="N520">
        <v>0</v>
      </c>
      <c r="O520">
        <v>45</v>
      </c>
      <c r="P520">
        <v>37.5</v>
      </c>
      <c r="Q520">
        <v>181</v>
      </c>
      <c r="R520">
        <v>333</v>
      </c>
      <c r="S520">
        <v>35.5</v>
      </c>
    </row>
    <row r="521" spans="1:19" x14ac:dyDescent="0.4">
      <c r="A521" t="s">
        <v>67</v>
      </c>
      <c r="B521">
        <v>202203</v>
      </c>
      <c r="C521">
        <v>19800</v>
      </c>
      <c r="D521" t="s">
        <v>64</v>
      </c>
      <c r="E521" t="s">
        <v>63</v>
      </c>
      <c r="F521" t="s">
        <v>63</v>
      </c>
      <c r="G521" t="s">
        <v>63</v>
      </c>
      <c r="H521" t="s">
        <v>63</v>
      </c>
      <c r="I521">
        <v>3290</v>
      </c>
      <c r="J521" t="s">
        <v>68</v>
      </c>
      <c r="K521" t="s">
        <v>68</v>
      </c>
      <c r="L521">
        <v>0</v>
      </c>
      <c r="M521">
        <v>0</v>
      </c>
      <c r="N521">
        <v>0</v>
      </c>
      <c r="O521">
        <v>0</v>
      </c>
      <c r="P521">
        <v>3130</v>
      </c>
      <c r="Q521">
        <v>3420</v>
      </c>
      <c r="R521" t="s">
        <v>63</v>
      </c>
      <c r="S521" t="s">
        <v>63</v>
      </c>
    </row>
    <row r="522" spans="1:19" x14ac:dyDescent="0.4">
      <c r="A522" t="s">
        <v>67</v>
      </c>
      <c r="B522">
        <v>202203</v>
      </c>
      <c r="C522">
        <v>20000</v>
      </c>
      <c r="D522" t="s">
        <v>62</v>
      </c>
      <c r="E522">
        <v>43.5</v>
      </c>
      <c r="F522">
        <v>43.5</v>
      </c>
      <c r="G522">
        <v>36</v>
      </c>
      <c r="H522">
        <v>36</v>
      </c>
      <c r="I522">
        <v>36</v>
      </c>
      <c r="J522" t="s">
        <v>130</v>
      </c>
      <c r="K522" t="s">
        <v>291</v>
      </c>
      <c r="L522">
        <v>23</v>
      </c>
      <c r="M522">
        <v>35</v>
      </c>
      <c r="N522">
        <v>58</v>
      </c>
      <c r="O522">
        <v>103</v>
      </c>
      <c r="P522">
        <v>3.2</v>
      </c>
      <c r="Q522">
        <v>175</v>
      </c>
      <c r="R522">
        <v>199</v>
      </c>
      <c r="S522">
        <v>34</v>
      </c>
    </row>
    <row r="523" spans="1:19" x14ac:dyDescent="0.4">
      <c r="A523" t="s">
        <v>67</v>
      </c>
      <c r="B523">
        <v>202203</v>
      </c>
      <c r="C523">
        <v>20000</v>
      </c>
      <c r="D523" t="s">
        <v>64</v>
      </c>
      <c r="E523" t="s">
        <v>63</v>
      </c>
      <c r="F523" t="s">
        <v>63</v>
      </c>
      <c r="G523" t="s">
        <v>63</v>
      </c>
      <c r="H523" t="s">
        <v>63</v>
      </c>
      <c r="I523">
        <v>3480</v>
      </c>
      <c r="J523" t="s">
        <v>68</v>
      </c>
      <c r="K523" t="s">
        <v>68</v>
      </c>
      <c r="L523">
        <v>0</v>
      </c>
      <c r="M523">
        <v>0</v>
      </c>
      <c r="N523">
        <v>0</v>
      </c>
      <c r="O523">
        <v>0</v>
      </c>
      <c r="P523">
        <v>3320</v>
      </c>
      <c r="Q523">
        <v>3610</v>
      </c>
      <c r="R523" t="s">
        <v>63</v>
      </c>
      <c r="S523" t="s">
        <v>63</v>
      </c>
    </row>
    <row r="524" spans="1:19" x14ac:dyDescent="0.4">
      <c r="A524" t="s">
        <v>67</v>
      </c>
      <c r="B524">
        <v>202203</v>
      </c>
      <c r="C524">
        <v>20200</v>
      </c>
      <c r="D524" t="s">
        <v>62</v>
      </c>
      <c r="E524" t="s">
        <v>63</v>
      </c>
      <c r="F524" t="s">
        <v>63</v>
      </c>
      <c r="G524" t="s">
        <v>63</v>
      </c>
      <c r="H524" t="s">
        <v>63</v>
      </c>
      <c r="I524">
        <v>31</v>
      </c>
      <c r="J524" t="s">
        <v>68</v>
      </c>
      <c r="K524" t="s">
        <v>68</v>
      </c>
      <c r="L524">
        <v>0</v>
      </c>
      <c r="M524">
        <v>0</v>
      </c>
      <c r="N524">
        <v>0</v>
      </c>
      <c r="O524">
        <v>6</v>
      </c>
      <c r="P524">
        <v>18.5</v>
      </c>
      <c r="Q524">
        <v>44.5</v>
      </c>
      <c r="R524">
        <v>118</v>
      </c>
      <c r="S524">
        <v>49</v>
      </c>
    </row>
    <row r="525" spans="1:19" x14ac:dyDescent="0.4">
      <c r="A525" t="s">
        <v>67</v>
      </c>
      <c r="B525">
        <v>202203</v>
      </c>
      <c r="C525">
        <v>20200</v>
      </c>
      <c r="D525" t="s">
        <v>64</v>
      </c>
      <c r="E525" t="s">
        <v>63</v>
      </c>
      <c r="F525" t="s">
        <v>63</v>
      </c>
      <c r="G525" t="s">
        <v>63</v>
      </c>
      <c r="H525" t="s">
        <v>63</v>
      </c>
      <c r="I525">
        <v>3670</v>
      </c>
      <c r="J525" t="s">
        <v>68</v>
      </c>
      <c r="K525" t="s">
        <v>68</v>
      </c>
      <c r="L525">
        <v>0</v>
      </c>
      <c r="M525">
        <v>0</v>
      </c>
      <c r="N525">
        <v>0</v>
      </c>
      <c r="O525">
        <v>0</v>
      </c>
      <c r="P525">
        <v>3520</v>
      </c>
      <c r="Q525">
        <v>3810</v>
      </c>
      <c r="R525" t="s">
        <v>63</v>
      </c>
      <c r="S525" t="s">
        <v>63</v>
      </c>
    </row>
    <row r="526" spans="1:19" x14ac:dyDescent="0.4">
      <c r="A526" t="s">
        <v>67</v>
      </c>
      <c r="B526">
        <v>202203</v>
      </c>
      <c r="C526">
        <v>20400</v>
      </c>
      <c r="D526" t="s">
        <v>62</v>
      </c>
      <c r="E526" t="s">
        <v>63</v>
      </c>
      <c r="F526" t="s">
        <v>63</v>
      </c>
      <c r="G526" t="s">
        <v>63</v>
      </c>
      <c r="H526" t="s">
        <v>63</v>
      </c>
      <c r="I526">
        <v>26.5</v>
      </c>
      <c r="J526" t="s">
        <v>68</v>
      </c>
      <c r="K526" t="s">
        <v>68</v>
      </c>
      <c r="L526">
        <v>0</v>
      </c>
      <c r="M526">
        <v>0</v>
      </c>
      <c r="N526">
        <v>0</v>
      </c>
      <c r="O526">
        <v>27</v>
      </c>
      <c r="P526">
        <v>14</v>
      </c>
      <c r="Q526">
        <v>39.5</v>
      </c>
      <c r="R526">
        <v>110</v>
      </c>
      <c r="S526">
        <v>30</v>
      </c>
    </row>
    <row r="527" spans="1:19" x14ac:dyDescent="0.4">
      <c r="A527" t="s">
        <v>67</v>
      </c>
      <c r="B527">
        <v>202203</v>
      </c>
      <c r="C527">
        <v>20400</v>
      </c>
      <c r="D527" t="s">
        <v>64</v>
      </c>
      <c r="E527" t="s">
        <v>63</v>
      </c>
      <c r="F527" t="s">
        <v>63</v>
      </c>
      <c r="G527" t="s">
        <v>63</v>
      </c>
      <c r="H527" t="s">
        <v>63</v>
      </c>
      <c r="I527">
        <v>3870</v>
      </c>
      <c r="J527" t="s">
        <v>68</v>
      </c>
      <c r="K527" t="s">
        <v>68</v>
      </c>
      <c r="L527">
        <v>0</v>
      </c>
      <c r="M527">
        <v>0</v>
      </c>
      <c r="N527">
        <v>0</v>
      </c>
      <c r="O527">
        <v>0</v>
      </c>
      <c r="P527">
        <v>3710</v>
      </c>
      <c r="Q527">
        <v>4000</v>
      </c>
      <c r="R527" t="s">
        <v>63</v>
      </c>
      <c r="S527" t="s">
        <v>63</v>
      </c>
    </row>
    <row r="528" spans="1:19" x14ac:dyDescent="0.4">
      <c r="A528" t="s">
        <v>67</v>
      </c>
      <c r="B528">
        <v>202203</v>
      </c>
      <c r="C528">
        <v>20600</v>
      </c>
      <c r="D528" t="s">
        <v>62</v>
      </c>
      <c r="E528" t="s">
        <v>63</v>
      </c>
      <c r="F528" t="s">
        <v>63</v>
      </c>
      <c r="G528" t="s">
        <v>63</v>
      </c>
      <c r="H528" t="s">
        <v>63</v>
      </c>
      <c r="I528">
        <v>23</v>
      </c>
      <c r="J528" t="s">
        <v>68</v>
      </c>
      <c r="K528" t="s">
        <v>68</v>
      </c>
      <c r="L528">
        <v>0</v>
      </c>
      <c r="M528">
        <v>0</v>
      </c>
      <c r="N528">
        <v>0</v>
      </c>
      <c r="O528">
        <v>25</v>
      </c>
      <c r="P528">
        <v>11</v>
      </c>
      <c r="Q528">
        <v>37</v>
      </c>
      <c r="R528">
        <v>107</v>
      </c>
      <c r="S528">
        <v>42</v>
      </c>
    </row>
    <row r="529" spans="1:19" x14ac:dyDescent="0.4">
      <c r="A529" t="s">
        <v>67</v>
      </c>
      <c r="B529">
        <v>202203</v>
      </c>
      <c r="C529">
        <v>20600</v>
      </c>
      <c r="D529" t="s">
        <v>64</v>
      </c>
      <c r="E529" t="s">
        <v>63</v>
      </c>
      <c r="F529" t="s">
        <v>63</v>
      </c>
      <c r="G529" t="s">
        <v>63</v>
      </c>
      <c r="H529" t="s">
        <v>63</v>
      </c>
      <c r="I529">
        <v>4060</v>
      </c>
      <c r="J529" t="s">
        <v>68</v>
      </c>
      <c r="K529" t="s">
        <v>68</v>
      </c>
      <c r="L529">
        <v>0</v>
      </c>
      <c r="M529">
        <v>0</v>
      </c>
      <c r="N529">
        <v>0</v>
      </c>
      <c r="O529">
        <v>0</v>
      </c>
      <c r="P529">
        <v>3900</v>
      </c>
      <c r="Q529">
        <v>4190</v>
      </c>
      <c r="R529" t="s">
        <v>63</v>
      </c>
      <c r="S529" t="s">
        <v>63</v>
      </c>
    </row>
    <row r="530" spans="1:19" x14ac:dyDescent="0.4">
      <c r="A530" t="s">
        <v>67</v>
      </c>
      <c r="B530">
        <v>202203</v>
      </c>
      <c r="C530">
        <v>20800</v>
      </c>
      <c r="D530" t="s">
        <v>62</v>
      </c>
      <c r="E530" t="s">
        <v>63</v>
      </c>
      <c r="F530" t="s">
        <v>63</v>
      </c>
      <c r="G530" t="s">
        <v>63</v>
      </c>
      <c r="H530" t="s">
        <v>63</v>
      </c>
      <c r="I530">
        <v>20</v>
      </c>
      <c r="J530" t="s">
        <v>68</v>
      </c>
      <c r="K530" t="s">
        <v>68</v>
      </c>
      <c r="L530">
        <v>0</v>
      </c>
      <c r="M530">
        <v>0</v>
      </c>
      <c r="N530">
        <v>0</v>
      </c>
      <c r="O530">
        <v>499</v>
      </c>
      <c r="P530">
        <v>2.2000000000000002</v>
      </c>
      <c r="Q530">
        <v>161</v>
      </c>
      <c r="R530">
        <v>118</v>
      </c>
      <c r="S530">
        <v>31</v>
      </c>
    </row>
    <row r="531" spans="1:19" x14ac:dyDescent="0.4">
      <c r="A531" t="s">
        <v>67</v>
      </c>
      <c r="B531">
        <v>202203</v>
      </c>
      <c r="C531">
        <v>20800</v>
      </c>
      <c r="D531" t="s">
        <v>64</v>
      </c>
      <c r="E531" t="s">
        <v>63</v>
      </c>
      <c r="F531" t="s">
        <v>63</v>
      </c>
      <c r="G531" t="s">
        <v>63</v>
      </c>
      <c r="H531" t="s">
        <v>63</v>
      </c>
      <c r="I531">
        <v>4260</v>
      </c>
      <c r="J531" t="s">
        <v>68</v>
      </c>
      <c r="K531" t="s">
        <v>68</v>
      </c>
      <c r="L531">
        <v>0</v>
      </c>
      <c r="M531">
        <v>0</v>
      </c>
      <c r="N531">
        <v>0</v>
      </c>
      <c r="O531">
        <v>0</v>
      </c>
      <c r="P531">
        <v>4110</v>
      </c>
      <c r="Q531">
        <v>4400</v>
      </c>
      <c r="R531" t="s">
        <v>63</v>
      </c>
      <c r="S531" t="s">
        <v>63</v>
      </c>
    </row>
    <row r="532" spans="1:19" x14ac:dyDescent="0.4">
      <c r="A532" t="s">
        <v>67</v>
      </c>
      <c r="B532">
        <v>202203</v>
      </c>
      <c r="C532">
        <v>21000</v>
      </c>
      <c r="D532" t="s">
        <v>62</v>
      </c>
      <c r="E532" t="s">
        <v>63</v>
      </c>
      <c r="F532" t="s">
        <v>63</v>
      </c>
      <c r="G532" t="s">
        <v>63</v>
      </c>
      <c r="H532" t="s">
        <v>63</v>
      </c>
      <c r="I532">
        <v>17</v>
      </c>
      <c r="J532" t="s">
        <v>68</v>
      </c>
      <c r="K532" t="s">
        <v>68</v>
      </c>
      <c r="L532">
        <v>0</v>
      </c>
      <c r="M532">
        <v>0</v>
      </c>
      <c r="N532">
        <v>0</v>
      </c>
      <c r="O532">
        <v>425</v>
      </c>
      <c r="P532">
        <v>6.6</v>
      </c>
      <c r="Q532">
        <v>31</v>
      </c>
      <c r="R532">
        <v>155</v>
      </c>
      <c r="S532">
        <v>2</v>
      </c>
    </row>
    <row r="533" spans="1:19" x14ac:dyDescent="0.4">
      <c r="A533" t="s">
        <v>67</v>
      </c>
      <c r="B533">
        <v>202203</v>
      </c>
      <c r="C533">
        <v>21000</v>
      </c>
      <c r="D533" t="s">
        <v>64</v>
      </c>
      <c r="E533" t="s">
        <v>63</v>
      </c>
      <c r="F533" t="s">
        <v>63</v>
      </c>
      <c r="G533" t="s">
        <v>63</v>
      </c>
      <c r="H533" t="s">
        <v>63</v>
      </c>
      <c r="I533">
        <v>4460</v>
      </c>
      <c r="J533" t="s">
        <v>68</v>
      </c>
      <c r="K533" t="s">
        <v>68</v>
      </c>
      <c r="L533">
        <v>0</v>
      </c>
      <c r="M533">
        <v>0</v>
      </c>
      <c r="N533">
        <v>0</v>
      </c>
      <c r="O533">
        <v>0</v>
      </c>
      <c r="P533">
        <v>4300</v>
      </c>
      <c r="Q533">
        <v>4600</v>
      </c>
      <c r="R533" t="s">
        <v>63</v>
      </c>
      <c r="S533" t="s">
        <v>63</v>
      </c>
    </row>
    <row r="534" spans="1:19" x14ac:dyDescent="0.4">
      <c r="A534" t="s">
        <v>67</v>
      </c>
      <c r="B534">
        <v>202203</v>
      </c>
      <c r="C534">
        <v>21200</v>
      </c>
      <c r="D534" t="s">
        <v>62</v>
      </c>
      <c r="E534">
        <v>15</v>
      </c>
      <c r="F534">
        <v>15</v>
      </c>
      <c r="G534">
        <v>15</v>
      </c>
      <c r="H534">
        <v>15</v>
      </c>
      <c r="I534">
        <v>15</v>
      </c>
      <c r="J534" t="s">
        <v>77</v>
      </c>
      <c r="K534" t="s">
        <v>124</v>
      </c>
      <c r="L534">
        <v>0</v>
      </c>
      <c r="M534">
        <v>1</v>
      </c>
      <c r="N534">
        <v>1</v>
      </c>
      <c r="O534">
        <v>450</v>
      </c>
      <c r="P534">
        <v>1</v>
      </c>
      <c r="Q534">
        <v>110</v>
      </c>
      <c r="R534">
        <v>79</v>
      </c>
      <c r="S534">
        <v>1</v>
      </c>
    </row>
    <row r="535" spans="1:19" x14ac:dyDescent="0.4">
      <c r="A535" t="s">
        <v>67</v>
      </c>
      <c r="B535">
        <v>202203</v>
      </c>
      <c r="C535">
        <v>21200</v>
      </c>
      <c r="D535" t="s">
        <v>64</v>
      </c>
      <c r="E535" t="s">
        <v>63</v>
      </c>
      <c r="F535" t="s">
        <v>63</v>
      </c>
      <c r="G535" t="s">
        <v>63</v>
      </c>
      <c r="H535" t="s">
        <v>63</v>
      </c>
      <c r="I535">
        <v>4650</v>
      </c>
      <c r="J535" t="s">
        <v>68</v>
      </c>
      <c r="K535" t="s">
        <v>68</v>
      </c>
      <c r="L535">
        <v>0</v>
      </c>
      <c r="M535">
        <v>0</v>
      </c>
      <c r="N535">
        <v>0</v>
      </c>
      <c r="O535">
        <v>0</v>
      </c>
      <c r="P535">
        <v>4500</v>
      </c>
      <c r="Q535">
        <v>4800</v>
      </c>
      <c r="R535" t="s">
        <v>63</v>
      </c>
      <c r="S535" t="s">
        <v>63</v>
      </c>
    </row>
    <row r="536" spans="1:19" x14ac:dyDescent="0.4">
      <c r="A536" t="s">
        <v>67</v>
      </c>
      <c r="B536">
        <v>202203</v>
      </c>
      <c r="C536">
        <v>21400</v>
      </c>
      <c r="D536" t="s">
        <v>62</v>
      </c>
      <c r="E536" t="s">
        <v>63</v>
      </c>
      <c r="F536" t="s">
        <v>63</v>
      </c>
      <c r="G536" t="s">
        <v>63</v>
      </c>
      <c r="H536" t="s">
        <v>63</v>
      </c>
      <c r="I536">
        <v>14</v>
      </c>
      <c r="J536" t="s">
        <v>68</v>
      </c>
      <c r="K536" t="s">
        <v>68</v>
      </c>
      <c r="L536">
        <v>0</v>
      </c>
      <c r="M536">
        <v>0</v>
      </c>
      <c r="N536">
        <v>0</v>
      </c>
      <c r="O536">
        <v>407</v>
      </c>
      <c r="P536">
        <v>2</v>
      </c>
      <c r="Q536">
        <v>110</v>
      </c>
      <c r="R536">
        <v>86</v>
      </c>
      <c r="S536">
        <v>21.5</v>
      </c>
    </row>
    <row r="537" spans="1:19" x14ac:dyDescent="0.4">
      <c r="A537" t="s">
        <v>67</v>
      </c>
      <c r="B537">
        <v>202203</v>
      </c>
      <c r="C537">
        <v>21400</v>
      </c>
      <c r="D537" t="s">
        <v>64</v>
      </c>
      <c r="E537" t="s">
        <v>63</v>
      </c>
      <c r="F537" t="s">
        <v>63</v>
      </c>
      <c r="G537" t="s">
        <v>63</v>
      </c>
      <c r="H537" t="s">
        <v>63</v>
      </c>
      <c r="I537">
        <v>4850</v>
      </c>
      <c r="J537" t="s">
        <v>68</v>
      </c>
      <c r="K537" t="s">
        <v>68</v>
      </c>
      <c r="L537">
        <v>0</v>
      </c>
      <c r="M537">
        <v>0</v>
      </c>
      <c r="N537">
        <v>0</v>
      </c>
      <c r="O537">
        <v>0</v>
      </c>
      <c r="P537">
        <v>4700</v>
      </c>
      <c r="Q537">
        <v>5000</v>
      </c>
      <c r="R537" t="s">
        <v>63</v>
      </c>
      <c r="S537" t="s">
        <v>63</v>
      </c>
    </row>
    <row r="538" spans="1:19" x14ac:dyDescent="0.4">
      <c r="A538" t="s">
        <v>67</v>
      </c>
      <c r="B538">
        <v>202203</v>
      </c>
      <c r="C538">
        <v>21600</v>
      </c>
      <c r="D538" t="s">
        <v>62</v>
      </c>
      <c r="E538" t="s">
        <v>63</v>
      </c>
      <c r="F538" t="s">
        <v>63</v>
      </c>
      <c r="G538" t="s">
        <v>63</v>
      </c>
      <c r="H538" t="s">
        <v>63</v>
      </c>
      <c r="I538">
        <v>13</v>
      </c>
      <c r="J538" t="s">
        <v>68</v>
      </c>
      <c r="K538" t="s">
        <v>68</v>
      </c>
      <c r="L538">
        <v>0</v>
      </c>
      <c r="M538">
        <v>0</v>
      </c>
      <c r="N538">
        <v>0</v>
      </c>
      <c r="O538">
        <v>409</v>
      </c>
      <c r="P538">
        <v>7.5</v>
      </c>
      <c r="Q538">
        <v>16</v>
      </c>
      <c r="R538">
        <v>71</v>
      </c>
      <c r="S538">
        <v>13</v>
      </c>
    </row>
    <row r="539" spans="1:19" x14ac:dyDescent="0.4">
      <c r="A539" t="s">
        <v>67</v>
      </c>
      <c r="B539">
        <v>202203</v>
      </c>
      <c r="C539">
        <v>21600</v>
      </c>
      <c r="D539" t="s">
        <v>64</v>
      </c>
      <c r="E539" t="s">
        <v>63</v>
      </c>
      <c r="F539" t="s">
        <v>63</v>
      </c>
      <c r="G539" t="s">
        <v>63</v>
      </c>
      <c r="H539" t="s">
        <v>63</v>
      </c>
      <c r="I539">
        <v>5050</v>
      </c>
      <c r="J539" t="s">
        <v>68</v>
      </c>
      <c r="K539" t="s">
        <v>68</v>
      </c>
      <c r="L539">
        <v>0</v>
      </c>
      <c r="M539">
        <v>0</v>
      </c>
      <c r="N539">
        <v>0</v>
      </c>
      <c r="O539">
        <v>0</v>
      </c>
      <c r="P539">
        <v>4900</v>
      </c>
      <c r="Q539">
        <v>5200</v>
      </c>
      <c r="R539" t="s">
        <v>63</v>
      </c>
      <c r="S539" t="s">
        <v>63</v>
      </c>
    </row>
    <row r="540" spans="1:19" x14ac:dyDescent="0.4">
      <c r="A540" t="s">
        <v>67</v>
      </c>
      <c r="B540">
        <v>202203</v>
      </c>
      <c r="C540">
        <v>21800</v>
      </c>
      <c r="D540" t="s">
        <v>62</v>
      </c>
      <c r="E540">
        <v>13</v>
      </c>
      <c r="F540">
        <v>14.5</v>
      </c>
      <c r="G540">
        <v>12</v>
      </c>
      <c r="H540">
        <v>12</v>
      </c>
      <c r="I540">
        <v>12</v>
      </c>
      <c r="J540" t="s">
        <v>81</v>
      </c>
      <c r="K540" t="s">
        <v>327</v>
      </c>
      <c r="L540">
        <v>74</v>
      </c>
      <c r="M540">
        <v>14</v>
      </c>
      <c r="N540">
        <v>88</v>
      </c>
      <c r="O540">
        <v>510</v>
      </c>
      <c r="P540">
        <v>11.5</v>
      </c>
      <c r="Q540">
        <v>14.5</v>
      </c>
      <c r="R540">
        <v>69</v>
      </c>
      <c r="S540">
        <v>8.1999999999999993</v>
      </c>
    </row>
    <row r="541" spans="1:19" x14ac:dyDescent="0.4">
      <c r="A541" t="s">
        <v>67</v>
      </c>
      <c r="B541">
        <v>202203</v>
      </c>
      <c r="C541">
        <v>21800</v>
      </c>
      <c r="D541" t="s">
        <v>64</v>
      </c>
      <c r="E541" t="s">
        <v>63</v>
      </c>
      <c r="F541" t="s">
        <v>63</v>
      </c>
      <c r="G541" t="s">
        <v>63</v>
      </c>
      <c r="H541" t="s">
        <v>63</v>
      </c>
      <c r="I541">
        <v>5250</v>
      </c>
      <c r="J541" t="s">
        <v>68</v>
      </c>
      <c r="K541" t="s">
        <v>68</v>
      </c>
      <c r="L541">
        <v>0</v>
      </c>
      <c r="M541">
        <v>0</v>
      </c>
      <c r="N541">
        <v>0</v>
      </c>
      <c r="O541">
        <v>0</v>
      </c>
      <c r="P541">
        <v>5100</v>
      </c>
      <c r="Q541">
        <v>5400</v>
      </c>
      <c r="R541" t="s">
        <v>63</v>
      </c>
      <c r="S541" t="s">
        <v>63</v>
      </c>
    </row>
    <row r="542" spans="1:19" x14ac:dyDescent="0.4">
      <c r="A542" t="s">
        <v>67</v>
      </c>
      <c r="B542">
        <v>202206</v>
      </c>
      <c r="C542">
        <v>13000</v>
      </c>
      <c r="D542" t="s">
        <v>62</v>
      </c>
      <c r="E542" t="s">
        <v>63</v>
      </c>
      <c r="F542" t="s">
        <v>63</v>
      </c>
      <c r="G542" t="s">
        <v>63</v>
      </c>
      <c r="H542" t="s">
        <v>63</v>
      </c>
      <c r="I542">
        <v>3670</v>
      </c>
      <c r="J542" t="s">
        <v>68</v>
      </c>
      <c r="K542" t="s">
        <v>68</v>
      </c>
      <c r="L542">
        <v>0</v>
      </c>
      <c r="M542">
        <v>0</v>
      </c>
      <c r="N542">
        <v>0</v>
      </c>
      <c r="O542">
        <v>0</v>
      </c>
      <c r="P542">
        <v>3540</v>
      </c>
      <c r="Q542">
        <v>3830</v>
      </c>
      <c r="R542" t="s">
        <v>63</v>
      </c>
      <c r="S542" t="s">
        <v>63</v>
      </c>
    </row>
    <row r="543" spans="1:19" x14ac:dyDescent="0.4">
      <c r="A543" t="s">
        <v>67</v>
      </c>
      <c r="B543">
        <v>202206</v>
      </c>
      <c r="C543">
        <v>13000</v>
      </c>
      <c r="D543" t="s">
        <v>64</v>
      </c>
      <c r="E543">
        <v>233</v>
      </c>
      <c r="F543">
        <v>239</v>
      </c>
      <c r="G543">
        <v>233</v>
      </c>
      <c r="H543">
        <v>239</v>
      </c>
      <c r="I543">
        <v>239</v>
      </c>
      <c r="J543" t="s">
        <v>139</v>
      </c>
      <c r="K543" t="s">
        <v>532</v>
      </c>
      <c r="L543">
        <v>1</v>
      </c>
      <c r="M543">
        <v>5</v>
      </c>
      <c r="N543">
        <v>6</v>
      </c>
      <c r="O543">
        <v>39</v>
      </c>
      <c r="P543">
        <v>238</v>
      </c>
      <c r="Q543">
        <v>242</v>
      </c>
      <c r="R543">
        <v>356</v>
      </c>
      <c r="S543">
        <v>233</v>
      </c>
    </row>
    <row r="544" spans="1:19" x14ac:dyDescent="0.4">
      <c r="A544" t="s">
        <v>67</v>
      </c>
      <c r="B544">
        <v>202206</v>
      </c>
      <c r="C544">
        <v>13200</v>
      </c>
      <c r="D544" t="s">
        <v>62</v>
      </c>
      <c r="E544" t="s">
        <v>63</v>
      </c>
      <c r="F544" t="s">
        <v>63</v>
      </c>
      <c r="G544" t="s">
        <v>63</v>
      </c>
      <c r="H544" t="s">
        <v>63</v>
      </c>
      <c r="I544">
        <v>3490</v>
      </c>
      <c r="J544" t="s">
        <v>68</v>
      </c>
      <c r="K544" t="s">
        <v>68</v>
      </c>
      <c r="L544">
        <v>0</v>
      </c>
      <c r="M544">
        <v>0</v>
      </c>
      <c r="N544">
        <v>0</v>
      </c>
      <c r="O544">
        <v>0</v>
      </c>
      <c r="P544">
        <v>3370</v>
      </c>
      <c r="Q544">
        <v>3650</v>
      </c>
      <c r="R544" t="s">
        <v>63</v>
      </c>
      <c r="S544" t="s">
        <v>63</v>
      </c>
    </row>
    <row r="545" spans="1:19" x14ac:dyDescent="0.4">
      <c r="A545" t="s">
        <v>67</v>
      </c>
      <c r="B545">
        <v>202206</v>
      </c>
      <c r="C545">
        <v>13200</v>
      </c>
      <c r="D545" t="s">
        <v>64</v>
      </c>
      <c r="E545" t="s">
        <v>63</v>
      </c>
      <c r="F545" t="s">
        <v>63</v>
      </c>
      <c r="G545" t="s">
        <v>63</v>
      </c>
      <c r="H545" t="s">
        <v>63</v>
      </c>
      <c r="I545">
        <v>260</v>
      </c>
      <c r="J545" t="s">
        <v>68</v>
      </c>
      <c r="K545" t="s">
        <v>68</v>
      </c>
      <c r="L545">
        <v>0</v>
      </c>
      <c r="M545">
        <v>0</v>
      </c>
      <c r="N545">
        <v>0</v>
      </c>
      <c r="O545">
        <v>13</v>
      </c>
      <c r="P545">
        <v>254</v>
      </c>
      <c r="Q545">
        <v>284</v>
      </c>
      <c r="R545">
        <v>364</v>
      </c>
      <c r="S545">
        <v>280</v>
      </c>
    </row>
    <row r="546" spans="1:19" x14ac:dyDescent="0.4">
      <c r="A546" t="s">
        <v>67</v>
      </c>
      <c r="B546">
        <v>202206</v>
      </c>
      <c r="C546">
        <v>13400</v>
      </c>
      <c r="D546" t="s">
        <v>62</v>
      </c>
      <c r="E546" t="s">
        <v>63</v>
      </c>
      <c r="F546" t="s">
        <v>63</v>
      </c>
      <c r="G546" t="s">
        <v>63</v>
      </c>
      <c r="H546" t="s">
        <v>63</v>
      </c>
      <c r="I546">
        <v>3310</v>
      </c>
      <c r="J546" t="s">
        <v>68</v>
      </c>
      <c r="K546" t="s">
        <v>68</v>
      </c>
      <c r="L546">
        <v>0</v>
      </c>
      <c r="M546">
        <v>0</v>
      </c>
      <c r="N546">
        <v>0</v>
      </c>
      <c r="O546">
        <v>2</v>
      </c>
      <c r="P546">
        <v>3190</v>
      </c>
      <c r="Q546">
        <v>3470</v>
      </c>
      <c r="R546">
        <v>3800</v>
      </c>
      <c r="S546">
        <v>3800</v>
      </c>
    </row>
    <row r="547" spans="1:19" x14ac:dyDescent="0.4">
      <c r="A547" t="s">
        <v>67</v>
      </c>
      <c r="B547">
        <v>202206</v>
      </c>
      <c r="C547">
        <v>13400</v>
      </c>
      <c r="D547" t="s">
        <v>64</v>
      </c>
      <c r="E547" t="s">
        <v>63</v>
      </c>
      <c r="F547" t="s">
        <v>63</v>
      </c>
      <c r="G547" t="s">
        <v>63</v>
      </c>
      <c r="H547" t="s">
        <v>63</v>
      </c>
      <c r="I547">
        <v>283</v>
      </c>
      <c r="J547" t="s">
        <v>68</v>
      </c>
      <c r="K547" t="s">
        <v>68</v>
      </c>
      <c r="L547">
        <v>0</v>
      </c>
      <c r="M547">
        <v>0</v>
      </c>
      <c r="N547">
        <v>0</v>
      </c>
      <c r="O547">
        <v>48</v>
      </c>
      <c r="P547">
        <v>268</v>
      </c>
      <c r="Q547">
        <v>307</v>
      </c>
      <c r="R547">
        <v>425</v>
      </c>
      <c r="S547">
        <v>244</v>
      </c>
    </row>
    <row r="548" spans="1:19" x14ac:dyDescent="0.4">
      <c r="A548" t="s">
        <v>67</v>
      </c>
      <c r="B548">
        <v>202206</v>
      </c>
      <c r="C548">
        <v>13600</v>
      </c>
      <c r="D548" t="s">
        <v>62</v>
      </c>
      <c r="E548" t="s">
        <v>63</v>
      </c>
      <c r="F548" t="s">
        <v>63</v>
      </c>
      <c r="G548" t="s">
        <v>63</v>
      </c>
      <c r="H548" t="s">
        <v>63</v>
      </c>
      <c r="I548">
        <v>3140</v>
      </c>
      <c r="J548" t="s">
        <v>68</v>
      </c>
      <c r="K548" t="s">
        <v>68</v>
      </c>
      <c r="L548">
        <v>0</v>
      </c>
      <c r="M548">
        <v>0</v>
      </c>
      <c r="N548">
        <v>0</v>
      </c>
      <c r="O548">
        <v>0</v>
      </c>
      <c r="P548">
        <v>3010</v>
      </c>
      <c r="Q548">
        <v>3300</v>
      </c>
      <c r="R548" t="s">
        <v>63</v>
      </c>
      <c r="S548" t="s">
        <v>63</v>
      </c>
    </row>
    <row r="549" spans="1:19" x14ac:dyDescent="0.4">
      <c r="A549" t="s">
        <v>67</v>
      </c>
      <c r="B549">
        <v>202206</v>
      </c>
      <c r="C549">
        <v>13600</v>
      </c>
      <c r="D549" t="s">
        <v>64</v>
      </c>
      <c r="E549" t="s">
        <v>63</v>
      </c>
      <c r="F549" t="s">
        <v>63</v>
      </c>
      <c r="G549" t="s">
        <v>63</v>
      </c>
      <c r="H549" t="s">
        <v>63</v>
      </c>
      <c r="I549">
        <v>307</v>
      </c>
      <c r="J549" t="s">
        <v>68</v>
      </c>
      <c r="K549" t="s">
        <v>68</v>
      </c>
      <c r="L549">
        <v>0</v>
      </c>
      <c r="M549">
        <v>0</v>
      </c>
      <c r="N549">
        <v>0</v>
      </c>
      <c r="O549">
        <v>3</v>
      </c>
      <c r="P549">
        <v>290</v>
      </c>
      <c r="Q549">
        <v>333</v>
      </c>
      <c r="R549">
        <v>382</v>
      </c>
      <c r="S549">
        <v>282</v>
      </c>
    </row>
    <row r="550" spans="1:19" x14ac:dyDescent="0.4">
      <c r="A550" t="s">
        <v>67</v>
      </c>
      <c r="B550">
        <v>202206</v>
      </c>
      <c r="C550">
        <v>13800</v>
      </c>
      <c r="D550" t="s">
        <v>62</v>
      </c>
      <c r="E550" t="s">
        <v>63</v>
      </c>
      <c r="F550" t="s">
        <v>63</v>
      </c>
      <c r="G550" t="s">
        <v>63</v>
      </c>
      <c r="H550" t="s">
        <v>63</v>
      </c>
      <c r="I550">
        <v>2970</v>
      </c>
      <c r="J550" t="s">
        <v>68</v>
      </c>
      <c r="K550" t="s">
        <v>68</v>
      </c>
      <c r="L550">
        <v>0</v>
      </c>
      <c r="M550">
        <v>0</v>
      </c>
      <c r="N550">
        <v>0</v>
      </c>
      <c r="O550">
        <v>0</v>
      </c>
      <c r="P550">
        <v>2840</v>
      </c>
      <c r="Q550">
        <v>3130</v>
      </c>
      <c r="R550" t="s">
        <v>63</v>
      </c>
      <c r="S550" t="s">
        <v>63</v>
      </c>
    </row>
    <row r="551" spans="1:19" x14ac:dyDescent="0.4">
      <c r="A551" t="s">
        <v>67</v>
      </c>
      <c r="B551">
        <v>202206</v>
      </c>
      <c r="C551">
        <v>13800</v>
      </c>
      <c r="D551" t="s">
        <v>64</v>
      </c>
      <c r="E551" t="s">
        <v>63</v>
      </c>
      <c r="F551" t="s">
        <v>63</v>
      </c>
      <c r="G551" t="s">
        <v>63</v>
      </c>
      <c r="H551" t="s">
        <v>63</v>
      </c>
      <c r="I551">
        <v>334</v>
      </c>
      <c r="J551" t="s">
        <v>68</v>
      </c>
      <c r="K551" t="s">
        <v>68</v>
      </c>
      <c r="L551">
        <v>0</v>
      </c>
      <c r="M551">
        <v>0</v>
      </c>
      <c r="N551">
        <v>0</v>
      </c>
      <c r="O551">
        <v>105</v>
      </c>
      <c r="P551">
        <v>330</v>
      </c>
      <c r="Q551">
        <v>358</v>
      </c>
      <c r="R551">
        <v>428</v>
      </c>
      <c r="S551">
        <v>226</v>
      </c>
    </row>
    <row r="552" spans="1:19" x14ac:dyDescent="0.4">
      <c r="A552" t="s">
        <v>67</v>
      </c>
      <c r="B552">
        <v>202206</v>
      </c>
      <c r="C552">
        <v>14000</v>
      </c>
      <c r="D552" t="s">
        <v>62</v>
      </c>
      <c r="E552" t="s">
        <v>63</v>
      </c>
      <c r="F552" t="s">
        <v>63</v>
      </c>
      <c r="G552" t="s">
        <v>63</v>
      </c>
      <c r="H552" t="s">
        <v>63</v>
      </c>
      <c r="I552">
        <v>2800</v>
      </c>
      <c r="J552" t="s">
        <v>68</v>
      </c>
      <c r="K552" t="s">
        <v>68</v>
      </c>
      <c r="L552">
        <v>0</v>
      </c>
      <c r="M552">
        <v>0</v>
      </c>
      <c r="N552">
        <v>0</v>
      </c>
      <c r="O552">
        <v>1</v>
      </c>
      <c r="P552">
        <v>2670</v>
      </c>
      <c r="Q552">
        <v>2960</v>
      </c>
      <c r="R552">
        <v>2760</v>
      </c>
      <c r="S552">
        <v>2760</v>
      </c>
    </row>
    <row r="553" spans="1:19" x14ac:dyDescent="0.4">
      <c r="A553" t="s">
        <v>67</v>
      </c>
      <c r="B553">
        <v>202206</v>
      </c>
      <c r="C553">
        <v>14000</v>
      </c>
      <c r="D553" t="s">
        <v>64</v>
      </c>
      <c r="E553" t="s">
        <v>63</v>
      </c>
      <c r="F553" t="s">
        <v>63</v>
      </c>
      <c r="G553" t="s">
        <v>63</v>
      </c>
      <c r="H553" t="s">
        <v>63</v>
      </c>
      <c r="I553">
        <v>363</v>
      </c>
      <c r="J553" t="s">
        <v>68</v>
      </c>
      <c r="K553" t="s">
        <v>68</v>
      </c>
      <c r="L553">
        <v>0</v>
      </c>
      <c r="M553">
        <v>0</v>
      </c>
      <c r="N553">
        <v>0</v>
      </c>
      <c r="O553">
        <v>15</v>
      </c>
      <c r="P553">
        <v>355</v>
      </c>
      <c r="Q553">
        <v>391</v>
      </c>
      <c r="R553">
        <v>460</v>
      </c>
      <c r="S553">
        <v>330</v>
      </c>
    </row>
    <row r="554" spans="1:19" x14ac:dyDescent="0.4">
      <c r="A554" t="s">
        <v>67</v>
      </c>
      <c r="B554">
        <v>202206</v>
      </c>
      <c r="C554">
        <v>14200</v>
      </c>
      <c r="D554" t="s">
        <v>62</v>
      </c>
      <c r="E554" t="s">
        <v>63</v>
      </c>
      <c r="F554" t="s">
        <v>63</v>
      </c>
      <c r="G554" t="s">
        <v>63</v>
      </c>
      <c r="H554" t="s">
        <v>63</v>
      </c>
      <c r="I554">
        <v>2630</v>
      </c>
      <c r="J554" t="s">
        <v>68</v>
      </c>
      <c r="K554" t="s">
        <v>68</v>
      </c>
      <c r="L554">
        <v>0</v>
      </c>
      <c r="M554">
        <v>0</v>
      </c>
      <c r="N554">
        <v>0</v>
      </c>
      <c r="O554">
        <v>0</v>
      </c>
      <c r="P554">
        <v>2510</v>
      </c>
      <c r="Q554">
        <v>2790</v>
      </c>
      <c r="R554" t="s">
        <v>63</v>
      </c>
      <c r="S554" t="s">
        <v>63</v>
      </c>
    </row>
    <row r="555" spans="1:19" x14ac:dyDescent="0.4">
      <c r="A555" t="s">
        <v>67</v>
      </c>
      <c r="B555">
        <v>202206</v>
      </c>
      <c r="C555">
        <v>14200</v>
      </c>
      <c r="D555" t="s">
        <v>64</v>
      </c>
      <c r="E555" t="s">
        <v>63</v>
      </c>
      <c r="F555" t="s">
        <v>63</v>
      </c>
      <c r="G555" t="s">
        <v>63</v>
      </c>
      <c r="H555" t="s">
        <v>63</v>
      </c>
      <c r="I555">
        <v>394</v>
      </c>
      <c r="J555" t="s">
        <v>68</v>
      </c>
      <c r="K555" t="s">
        <v>68</v>
      </c>
      <c r="L555">
        <v>0</v>
      </c>
      <c r="M555">
        <v>0</v>
      </c>
      <c r="N555">
        <v>0</v>
      </c>
      <c r="O555">
        <v>1</v>
      </c>
      <c r="P555">
        <v>382</v>
      </c>
      <c r="Q555">
        <v>424</v>
      </c>
      <c r="R555">
        <v>420</v>
      </c>
      <c r="S555">
        <v>420</v>
      </c>
    </row>
    <row r="556" spans="1:19" x14ac:dyDescent="0.4">
      <c r="A556" t="s">
        <v>67</v>
      </c>
      <c r="B556">
        <v>202206</v>
      </c>
      <c r="C556">
        <v>14400</v>
      </c>
      <c r="D556" t="s">
        <v>62</v>
      </c>
      <c r="E556" t="s">
        <v>63</v>
      </c>
      <c r="F556" t="s">
        <v>63</v>
      </c>
      <c r="G556" t="s">
        <v>63</v>
      </c>
      <c r="H556" t="s">
        <v>63</v>
      </c>
      <c r="I556">
        <v>2460</v>
      </c>
      <c r="J556" t="s">
        <v>68</v>
      </c>
      <c r="K556" t="s">
        <v>68</v>
      </c>
      <c r="L556">
        <v>0</v>
      </c>
      <c r="M556">
        <v>0</v>
      </c>
      <c r="N556">
        <v>0</v>
      </c>
      <c r="O556">
        <v>0</v>
      </c>
      <c r="P556">
        <v>2330</v>
      </c>
      <c r="Q556">
        <v>2610</v>
      </c>
      <c r="R556" t="s">
        <v>63</v>
      </c>
      <c r="S556" t="s">
        <v>63</v>
      </c>
    </row>
    <row r="557" spans="1:19" x14ac:dyDescent="0.4">
      <c r="A557" t="s">
        <v>67</v>
      </c>
      <c r="B557">
        <v>202206</v>
      </c>
      <c r="C557">
        <v>14400</v>
      </c>
      <c r="D557" t="s">
        <v>64</v>
      </c>
      <c r="E557" t="s">
        <v>63</v>
      </c>
      <c r="F557" t="s">
        <v>63</v>
      </c>
      <c r="G557" t="s">
        <v>63</v>
      </c>
      <c r="H557" t="s">
        <v>63</v>
      </c>
      <c r="I557">
        <v>427</v>
      </c>
      <c r="J557" t="s">
        <v>68</v>
      </c>
      <c r="K557" t="s">
        <v>68</v>
      </c>
      <c r="L557">
        <v>0</v>
      </c>
      <c r="M557">
        <v>0</v>
      </c>
      <c r="N557">
        <v>0</v>
      </c>
      <c r="O557">
        <v>2</v>
      </c>
      <c r="P557">
        <v>416</v>
      </c>
      <c r="Q557">
        <v>465</v>
      </c>
      <c r="R557">
        <v>600</v>
      </c>
      <c r="S557">
        <v>510</v>
      </c>
    </row>
    <row r="558" spans="1:19" x14ac:dyDescent="0.4">
      <c r="A558" t="s">
        <v>67</v>
      </c>
      <c r="B558">
        <v>202206</v>
      </c>
      <c r="C558">
        <v>14600</v>
      </c>
      <c r="D558" t="s">
        <v>62</v>
      </c>
      <c r="E558" t="s">
        <v>63</v>
      </c>
      <c r="F558" t="s">
        <v>63</v>
      </c>
      <c r="G558" t="s">
        <v>63</v>
      </c>
      <c r="H558" t="s">
        <v>63</v>
      </c>
      <c r="I558">
        <v>2300</v>
      </c>
      <c r="J558" t="s">
        <v>68</v>
      </c>
      <c r="K558" t="s">
        <v>68</v>
      </c>
      <c r="L558">
        <v>0</v>
      </c>
      <c r="M558">
        <v>0</v>
      </c>
      <c r="N558">
        <v>0</v>
      </c>
      <c r="O558">
        <v>0</v>
      </c>
      <c r="P558">
        <v>2170</v>
      </c>
      <c r="Q558">
        <v>2450</v>
      </c>
      <c r="R558" t="s">
        <v>63</v>
      </c>
      <c r="S558" t="s">
        <v>63</v>
      </c>
    </row>
    <row r="559" spans="1:19" x14ac:dyDescent="0.4">
      <c r="A559" t="s">
        <v>67</v>
      </c>
      <c r="B559">
        <v>202206</v>
      </c>
      <c r="C559">
        <v>14600</v>
      </c>
      <c r="D559" t="s">
        <v>64</v>
      </c>
      <c r="E559" t="s">
        <v>63</v>
      </c>
      <c r="F559" t="s">
        <v>63</v>
      </c>
      <c r="G559" t="s">
        <v>63</v>
      </c>
      <c r="H559" t="s">
        <v>63</v>
      </c>
      <c r="I559">
        <v>463</v>
      </c>
      <c r="J559" t="s">
        <v>68</v>
      </c>
      <c r="K559" t="s">
        <v>68</v>
      </c>
      <c r="L559">
        <v>0</v>
      </c>
      <c r="M559">
        <v>0</v>
      </c>
      <c r="N559">
        <v>0</v>
      </c>
      <c r="O559">
        <v>1</v>
      </c>
      <c r="P559">
        <v>453</v>
      </c>
      <c r="Q559">
        <v>500</v>
      </c>
      <c r="R559">
        <v>550</v>
      </c>
      <c r="S559">
        <v>550</v>
      </c>
    </row>
    <row r="560" spans="1:19" x14ac:dyDescent="0.4">
      <c r="A560" t="s">
        <v>67</v>
      </c>
      <c r="B560">
        <v>202206</v>
      </c>
      <c r="C560">
        <v>14800</v>
      </c>
      <c r="D560" t="s">
        <v>62</v>
      </c>
      <c r="E560" t="s">
        <v>63</v>
      </c>
      <c r="F560" t="s">
        <v>63</v>
      </c>
      <c r="G560" t="s">
        <v>63</v>
      </c>
      <c r="H560" t="s">
        <v>63</v>
      </c>
      <c r="I560">
        <v>2140</v>
      </c>
      <c r="J560" t="s">
        <v>68</v>
      </c>
      <c r="K560" t="s">
        <v>68</v>
      </c>
      <c r="L560">
        <v>0</v>
      </c>
      <c r="M560">
        <v>0</v>
      </c>
      <c r="N560">
        <v>0</v>
      </c>
      <c r="O560">
        <v>0</v>
      </c>
      <c r="P560">
        <v>2010</v>
      </c>
      <c r="Q560">
        <v>2320</v>
      </c>
      <c r="R560" t="s">
        <v>63</v>
      </c>
      <c r="S560" t="s">
        <v>63</v>
      </c>
    </row>
    <row r="561" spans="1:19" x14ac:dyDescent="0.4">
      <c r="A561" t="s">
        <v>67</v>
      </c>
      <c r="B561">
        <v>202206</v>
      </c>
      <c r="C561">
        <v>14800</v>
      </c>
      <c r="D561" t="s">
        <v>64</v>
      </c>
      <c r="E561" t="s">
        <v>63</v>
      </c>
      <c r="F561" t="s">
        <v>63</v>
      </c>
      <c r="G561" t="s">
        <v>63</v>
      </c>
      <c r="H561" t="s">
        <v>63</v>
      </c>
      <c r="I561">
        <v>505</v>
      </c>
      <c r="J561" t="s">
        <v>68</v>
      </c>
      <c r="K561" s="28" t="s">
        <v>68</v>
      </c>
      <c r="L561">
        <v>0</v>
      </c>
      <c r="M561">
        <v>0</v>
      </c>
      <c r="N561">
        <v>0</v>
      </c>
      <c r="O561">
        <v>1</v>
      </c>
      <c r="P561">
        <v>494</v>
      </c>
      <c r="Q561">
        <v>550</v>
      </c>
      <c r="R561">
        <v>695</v>
      </c>
      <c r="S561">
        <v>695</v>
      </c>
    </row>
    <row r="562" spans="1:19" x14ac:dyDescent="0.4">
      <c r="A562" t="s">
        <v>67</v>
      </c>
      <c r="B562">
        <v>202206</v>
      </c>
      <c r="C562">
        <v>15000</v>
      </c>
      <c r="D562" t="s">
        <v>62</v>
      </c>
      <c r="E562" t="s">
        <v>63</v>
      </c>
      <c r="F562" t="s">
        <v>63</v>
      </c>
      <c r="G562" t="s">
        <v>63</v>
      </c>
      <c r="H562" t="s">
        <v>63</v>
      </c>
      <c r="I562">
        <v>1980</v>
      </c>
      <c r="J562" t="s">
        <v>68</v>
      </c>
      <c r="K562" t="s">
        <v>68</v>
      </c>
      <c r="L562">
        <v>0</v>
      </c>
      <c r="M562">
        <v>0</v>
      </c>
      <c r="N562">
        <v>0</v>
      </c>
      <c r="O562">
        <v>0</v>
      </c>
      <c r="P562">
        <v>1860</v>
      </c>
      <c r="Q562">
        <v>2120</v>
      </c>
      <c r="R562" t="s">
        <v>63</v>
      </c>
      <c r="S562" t="s">
        <v>63</v>
      </c>
    </row>
    <row r="563" spans="1:19" x14ac:dyDescent="0.4">
      <c r="A563" t="s">
        <v>67</v>
      </c>
      <c r="B563">
        <v>202206</v>
      </c>
      <c r="C563">
        <v>15000</v>
      </c>
      <c r="D563" t="s">
        <v>64</v>
      </c>
      <c r="E563">
        <v>545</v>
      </c>
      <c r="F563">
        <v>545</v>
      </c>
      <c r="G563">
        <v>545</v>
      </c>
      <c r="H563">
        <v>545</v>
      </c>
      <c r="I563">
        <v>545</v>
      </c>
      <c r="J563" t="s">
        <v>137</v>
      </c>
      <c r="K563" t="s">
        <v>533</v>
      </c>
      <c r="L563">
        <v>0</v>
      </c>
      <c r="M563">
        <v>1</v>
      </c>
      <c r="N563">
        <v>1</v>
      </c>
      <c r="O563">
        <v>59</v>
      </c>
      <c r="P563">
        <v>426</v>
      </c>
      <c r="Q563">
        <v>700</v>
      </c>
      <c r="R563">
        <v>825</v>
      </c>
      <c r="S563">
        <v>480</v>
      </c>
    </row>
    <row r="564" spans="1:19" x14ac:dyDescent="0.4">
      <c r="A564" t="s">
        <v>67</v>
      </c>
      <c r="B564">
        <v>202206</v>
      </c>
      <c r="C564">
        <v>15200</v>
      </c>
      <c r="D564" t="s">
        <v>62</v>
      </c>
      <c r="E564" t="s">
        <v>63</v>
      </c>
      <c r="F564" t="s">
        <v>63</v>
      </c>
      <c r="G564" t="s">
        <v>63</v>
      </c>
      <c r="H564" t="s">
        <v>63</v>
      </c>
      <c r="I564">
        <v>1830</v>
      </c>
      <c r="J564" t="s">
        <v>68</v>
      </c>
      <c r="K564" t="s">
        <v>68</v>
      </c>
      <c r="L564">
        <v>0</v>
      </c>
      <c r="M564">
        <v>0</v>
      </c>
      <c r="N564">
        <v>0</v>
      </c>
      <c r="O564">
        <v>0</v>
      </c>
      <c r="P564">
        <v>1710</v>
      </c>
      <c r="Q564">
        <v>1970</v>
      </c>
      <c r="R564" t="s">
        <v>63</v>
      </c>
      <c r="S564" t="s">
        <v>63</v>
      </c>
    </row>
    <row r="565" spans="1:19" x14ac:dyDescent="0.4">
      <c r="A565" t="s">
        <v>67</v>
      </c>
      <c r="B565">
        <v>202206</v>
      </c>
      <c r="C565">
        <v>15200</v>
      </c>
      <c r="D565" t="s">
        <v>64</v>
      </c>
      <c r="E565" t="s">
        <v>63</v>
      </c>
      <c r="F565" t="s">
        <v>63</v>
      </c>
      <c r="G565" t="s">
        <v>63</v>
      </c>
      <c r="H565" t="s">
        <v>63</v>
      </c>
      <c r="I565">
        <v>595</v>
      </c>
      <c r="J565" t="s">
        <v>68</v>
      </c>
      <c r="K565" t="s">
        <v>68</v>
      </c>
      <c r="L565">
        <v>0</v>
      </c>
      <c r="M565">
        <v>0</v>
      </c>
      <c r="N565">
        <v>0</v>
      </c>
      <c r="O565">
        <v>23</v>
      </c>
      <c r="P565">
        <v>477</v>
      </c>
      <c r="Q565">
        <v>755</v>
      </c>
      <c r="R565">
        <v>775</v>
      </c>
      <c r="S565">
        <v>535</v>
      </c>
    </row>
    <row r="566" spans="1:19" x14ac:dyDescent="0.4">
      <c r="A566" t="s">
        <v>67</v>
      </c>
      <c r="B566">
        <v>202206</v>
      </c>
      <c r="C566">
        <v>15400</v>
      </c>
      <c r="D566" t="s">
        <v>62</v>
      </c>
      <c r="E566" t="s">
        <v>63</v>
      </c>
      <c r="F566" t="s">
        <v>63</v>
      </c>
      <c r="G566" t="s">
        <v>63</v>
      </c>
      <c r="H566" t="s">
        <v>63</v>
      </c>
      <c r="I566">
        <v>1700</v>
      </c>
      <c r="J566" t="s">
        <v>68</v>
      </c>
      <c r="K566" t="s">
        <v>68</v>
      </c>
      <c r="L566">
        <v>0</v>
      </c>
      <c r="M566">
        <v>0</v>
      </c>
      <c r="N566">
        <v>0</v>
      </c>
      <c r="O566">
        <v>0</v>
      </c>
      <c r="P566">
        <v>1570</v>
      </c>
      <c r="Q566">
        <v>1860</v>
      </c>
      <c r="R566" t="s">
        <v>63</v>
      </c>
      <c r="S566" t="s">
        <v>63</v>
      </c>
    </row>
    <row r="567" spans="1:19" x14ac:dyDescent="0.4">
      <c r="A567" t="s">
        <v>67</v>
      </c>
      <c r="B567">
        <v>202206</v>
      </c>
      <c r="C567">
        <v>15400</v>
      </c>
      <c r="D567" t="s">
        <v>64</v>
      </c>
      <c r="E567" t="s">
        <v>63</v>
      </c>
      <c r="F567" t="s">
        <v>63</v>
      </c>
      <c r="G567" t="s">
        <v>63</v>
      </c>
      <c r="H567" t="s">
        <v>63</v>
      </c>
      <c r="I567">
        <v>655</v>
      </c>
      <c r="J567" t="s">
        <v>68</v>
      </c>
      <c r="K567" t="s">
        <v>68</v>
      </c>
      <c r="L567">
        <v>0</v>
      </c>
      <c r="M567">
        <v>0</v>
      </c>
      <c r="N567">
        <v>0</v>
      </c>
      <c r="O567">
        <v>7</v>
      </c>
      <c r="P567">
        <v>535</v>
      </c>
      <c r="Q567">
        <v>810</v>
      </c>
      <c r="R567">
        <v>590</v>
      </c>
      <c r="S567">
        <v>575</v>
      </c>
    </row>
    <row r="568" spans="1:19" x14ac:dyDescent="0.4">
      <c r="A568" t="s">
        <v>67</v>
      </c>
      <c r="B568">
        <v>202206</v>
      </c>
      <c r="C568">
        <v>15600</v>
      </c>
      <c r="D568" t="s">
        <v>62</v>
      </c>
      <c r="E568" t="s">
        <v>63</v>
      </c>
      <c r="F568" t="s">
        <v>63</v>
      </c>
      <c r="G568" t="s">
        <v>63</v>
      </c>
      <c r="H568" t="s">
        <v>63</v>
      </c>
      <c r="I568">
        <v>1560</v>
      </c>
      <c r="J568" t="s">
        <v>68</v>
      </c>
      <c r="K568" t="s">
        <v>68</v>
      </c>
      <c r="L568">
        <v>0</v>
      </c>
      <c r="M568">
        <v>0</v>
      </c>
      <c r="N568">
        <v>0</v>
      </c>
      <c r="O568">
        <v>0</v>
      </c>
      <c r="P568">
        <v>1430</v>
      </c>
      <c r="Q568">
        <v>1730</v>
      </c>
      <c r="R568" t="s">
        <v>63</v>
      </c>
      <c r="S568" t="s">
        <v>63</v>
      </c>
    </row>
    <row r="569" spans="1:19" x14ac:dyDescent="0.4">
      <c r="A569" t="s">
        <v>67</v>
      </c>
      <c r="B569">
        <v>202206</v>
      </c>
      <c r="C569">
        <v>15600</v>
      </c>
      <c r="D569" t="s">
        <v>64</v>
      </c>
      <c r="E569" t="s">
        <v>63</v>
      </c>
      <c r="F569" t="s">
        <v>63</v>
      </c>
      <c r="G569" t="s">
        <v>63</v>
      </c>
      <c r="H569" t="s">
        <v>63</v>
      </c>
      <c r="I569">
        <v>715</v>
      </c>
      <c r="J569" t="s">
        <v>68</v>
      </c>
      <c r="K569" t="s">
        <v>68</v>
      </c>
      <c r="L569">
        <v>0</v>
      </c>
      <c r="M569">
        <v>0</v>
      </c>
      <c r="N569">
        <v>0</v>
      </c>
      <c r="O569">
        <v>17</v>
      </c>
      <c r="P569">
        <v>595</v>
      </c>
      <c r="Q569">
        <v>870</v>
      </c>
      <c r="R569">
        <v>905</v>
      </c>
      <c r="S569">
        <v>595</v>
      </c>
    </row>
    <row r="570" spans="1:19" x14ac:dyDescent="0.4">
      <c r="A570" t="s">
        <v>67</v>
      </c>
      <c r="B570">
        <v>202206</v>
      </c>
      <c r="C570">
        <v>15800</v>
      </c>
      <c r="D570" t="s">
        <v>62</v>
      </c>
      <c r="E570" t="s">
        <v>63</v>
      </c>
      <c r="F570" t="s">
        <v>63</v>
      </c>
      <c r="G570" t="s">
        <v>63</v>
      </c>
      <c r="H570" t="s">
        <v>63</v>
      </c>
      <c r="I570">
        <v>1420</v>
      </c>
      <c r="J570" t="s">
        <v>68</v>
      </c>
      <c r="K570" t="s">
        <v>68</v>
      </c>
      <c r="L570">
        <v>0</v>
      </c>
      <c r="M570">
        <v>0</v>
      </c>
      <c r="N570">
        <v>0</v>
      </c>
      <c r="O570">
        <v>0</v>
      </c>
      <c r="P570">
        <v>1290</v>
      </c>
      <c r="Q570">
        <v>1600</v>
      </c>
      <c r="R570" t="s">
        <v>63</v>
      </c>
      <c r="S570" t="s">
        <v>63</v>
      </c>
    </row>
    <row r="571" spans="1:19" x14ac:dyDescent="0.4">
      <c r="A571" t="s">
        <v>67</v>
      </c>
      <c r="B571">
        <v>202206</v>
      </c>
      <c r="C571">
        <v>15800</v>
      </c>
      <c r="D571" t="s">
        <v>64</v>
      </c>
      <c r="E571" t="s">
        <v>63</v>
      </c>
      <c r="F571" t="s">
        <v>63</v>
      </c>
      <c r="G571" t="s">
        <v>63</v>
      </c>
      <c r="H571" t="s">
        <v>63</v>
      </c>
      <c r="I571">
        <v>780</v>
      </c>
      <c r="J571" t="s">
        <v>68</v>
      </c>
      <c r="K571" t="s">
        <v>68</v>
      </c>
      <c r="L571">
        <v>0</v>
      </c>
      <c r="M571">
        <v>0</v>
      </c>
      <c r="N571">
        <v>0</v>
      </c>
      <c r="O571">
        <v>11</v>
      </c>
      <c r="P571">
        <v>770</v>
      </c>
      <c r="Q571">
        <v>830</v>
      </c>
      <c r="R571">
        <v>685</v>
      </c>
      <c r="S571">
        <v>650</v>
      </c>
    </row>
    <row r="572" spans="1:19" x14ac:dyDescent="0.4">
      <c r="A572" t="s">
        <v>67</v>
      </c>
      <c r="B572">
        <v>202206</v>
      </c>
      <c r="C572">
        <v>16000</v>
      </c>
      <c r="D572" t="s">
        <v>62</v>
      </c>
      <c r="E572" t="s">
        <v>63</v>
      </c>
      <c r="F572" t="s">
        <v>63</v>
      </c>
      <c r="G572" t="s">
        <v>63</v>
      </c>
      <c r="H572" t="s">
        <v>63</v>
      </c>
      <c r="I572">
        <v>1290</v>
      </c>
      <c r="J572" t="s">
        <v>68</v>
      </c>
      <c r="K572" t="s">
        <v>68</v>
      </c>
      <c r="L572">
        <v>0</v>
      </c>
      <c r="M572">
        <v>0</v>
      </c>
      <c r="N572">
        <v>0</v>
      </c>
      <c r="O572">
        <v>0</v>
      </c>
      <c r="P572">
        <v>1170</v>
      </c>
      <c r="Q572">
        <v>1450</v>
      </c>
      <c r="R572" t="s">
        <v>63</v>
      </c>
      <c r="S572" t="s">
        <v>63</v>
      </c>
    </row>
    <row r="573" spans="1:19" x14ac:dyDescent="0.4">
      <c r="A573" t="s">
        <v>67</v>
      </c>
      <c r="B573">
        <v>202206</v>
      </c>
      <c r="C573">
        <v>16000</v>
      </c>
      <c r="D573" t="s">
        <v>64</v>
      </c>
      <c r="E573" t="s">
        <v>63</v>
      </c>
      <c r="F573" t="s">
        <v>63</v>
      </c>
      <c r="G573" t="s">
        <v>63</v>
      </c>
      <c r="H573" t="s">
        <v>63</v>
      </c>
      <c r="I573">
        <v>850</v>
      </c>
      <c r="J573" t="s">
        <v>68</v>
      </c>
      <c r="K573" t="s">
        <v>68</v>
      </c>
      <c r="L573">
        <v>2</v>
      </c>
      <c r="M573">
        <v>0</v>
      </c>
      <c r="N573">
        <v>2</v>
      </c>
      <c r="O573">
        <v>2</v>
      </c>
      <c r="P573">
        <v>835</v>
      </c>
      <c r="Q573">
        <v>1000</v>
      </c>
      <c r="R573">
        <v>860</v>
      </c>
      <c r="S573">
        <v>860</v>
      </c>
    </row>
    <row r="574" spans="1:19" x14ac:dyDescent="0.4">
      <c r="A574" t="s">
        <v>67</v>
      </c>
      <c r="B574">
        <v>202206</v>
      </c>
      <c r="C574">
        <v>16200</v>
      </c>
      <c r="D574" t="s">
        <v>62</v>
      </c>
      <c r="E574" t="s">
        <v>63</v>
      </c>
      <c r="F574" t="s">
        <v>63</v>
      </c>
      <c r="G574" t="s">
        <v>63</v>
      </c>
      <c r="H574" t="s">
        <v>63</v>
      </c>
      <c r="I574">
        <v>1170</v>
      </c>
      <c r="J574" t="s">
        <v>68</v>
      </c>
      <c r="K574" t="s">
        <v>68</v>
      </c>
      <c r="L574">
        <v>0</v>
      </c>
      <c r="M574">
        <v>0</v>
      </c>
      <c r="N574">
        <v>0</v>
      </c>
      <c r="O574">
        <v>1</v>
      </c>
      <c r="P574">
        <v>1040</v>
      </c>
      <c r="Q574">
        <v>1320</v>
      </c>
      <c r="R574">
        <v>1000</v>
      </c>
      <c r="S574">
        <v>1000</v>
      </c>
    </row>
    <row r="575" spans="1:19" x14ac:dyDescent="0.4">
      <c r="A575" t="s">
        <v>67</v>
      </c>
      <c r="B575">
        <v>202206</v>
      </c>
      <c r="C575">
        <v>16200</v>
      </c>
      <c r="D575" t="s">
        <v>64</v>
      </c>
      <c r="E575" t="s">
        <v>63</v>
      </c>
      <c r="F575" t="s">
        <v>63</v>
      </c>
      <c r="G575" t="s">
        <v>63</v>
      </c>
      <c r="H575" t="s">
        <v>63</v>
      </c>
      <c r="I575">
        <v>930</v>
      </c>
      <c r="J575" t="s">
        <v>68</v>
      </c>
      <c r="K575" t="s">
        <v>68</v>
      </c>
      <c r="L575">
        <v>0</v>
      </c>
      <c r="M575">
        <v>0</v>
      </c>
      <c r="N575">
        <v>0</v>
      </c>
      <c r="O575">
        <v>12</v>
      </c>
      <c r="P575">
        <v>805</v>
      </c>
      <c r="Q575">
        <v>1070</v>
      </c>
      <c r="R575">
        <v>1080</v>
      </c>
      <c r="S575">
        <v>1080</v>
      </c>
    </row>
    <row r="576" spans="1:19" x14ac:dyDescent="0.4">
      <c r="A576" t="s">
        <v>67</v>
      </c>
      <c r="B576">
        <v>202206</v>
      </c>
      <c r="C576">
        <v>16400</v>
      </c>
      <c r="D576" t="s">
        <v>62</v>
      </c>
      <c r="E576" t="s">
        <v>63</v>
      </c>
      <c r="F576" t="s">
        <v>63</v>
      </c>
      <c r="G576" t="s">
        <v>63</v>
      </c>
      <c r="H576" t="s">
        <v>63</v>
      </c>
      <c r="I576">
        <v>1050</v>
      </c>
      <c r="J576" t="s">
        <v>68</v>
      </c>
      <c r="K576" t="s">
        <v>68</v>
      </c>
      <c r="L576">
        <v>0</v>
      </c>
      <c r="M576">
        <v>0</v>
      </c>
      <c r="N576">
        <v>0</v>
      </c>
      <c r="O576">
        <v>12</v>
      </c>
      <c r="P576">
        <v>925</v>
      </c>
      <c r="Q576">
        <v>1200</v>
      </c>
      <c r="R576">
        <v>1080</v>
      </c>
      <c r="S576">
        <v>945</v>
      </c>
    </row>
    <row r="577" spans="1:19" x14ac:dyDescent="0.4">
      <c r="A577" t="s">
        <v>67</v>
      </c>
      <c r="B577">
        <v>202206</v>
      </c>
      <c r="C577">
        <v>16400</v>
      </c>
      <c r="D577" t="s">
        <v>64</v>
      </c>
      <c r="E577">
        <v>1010</v>
      </c>
      <c r="F577">
        <v>1010</v>
      </c>
      <c r="G577">
        <v>1010</v>
      </c>
      <c r="H577">
        <v>1010</v>
      </c>
      <c r="I577">
        <v>1010</v>
      </c>
      <c r="J577" t="s">
        <v>83</v>
      </c>
      <c r="K577" t="s">
        <v>534</v>
      </c>
      <c r="L577">
        <v>0</v>
      </c>
      <c r="M577">
        <v>1</v>
      </c>
      <c r="N577">
        <v>1</v>
      </c>
      <c r="O577">
        <v>1</v>
      </c>
      <c r="P577">
        <v>890</v>
      </c>
      <c r="Q577">
        <v>1150</v>
      </c>
      <c r="R577">
        <v>1010</v>
      </c>
      <c r="S577">
        <v>1010</v>
      </c>
    </row>
    <row r="578" spans="1:19" x14ac:dyDescent="0.4">
      <c r="A578" t="s">
        <v>67</v>
      </c>
      <c r="B578">
        <v>202206</v>
      </c>
      <c r="C578">
        <v>16600</v>
      </c>
      <c r="D578" t="s">
        <v>62</v>
      </c>
      <c r="E578" t="s">
        <v>63</v>
      </c>
      <c r="F578" t="s">
        <v>63</v>
      </c>
      <c r="G578" t="s">
        <v>63</v>
      </c>
      <c r="H578" t="s">
        <v>63</v>
      </c>
      <c r="I578">
        <v>950</v>
      </c>
      <c r="J578" t="s">
        <v>68</v>
      </c>
      <c r="K578" t="s">
        <v>68</v>
      </c>
      <c r="L578">
        <v>0</v>
      </c>
      <c r="M578">
        <v>0</v>
      </c>
      <c r="N578">
        <v>0</v>
      </c>
      <c r="O578">
        <v>19</v>
      </c>
      <c r="P578">
        <v>860</v>
      </c>
      <c r="Q578">
        <v>1090</v>
      </c>
      <c r="R578">
        <v>895</v>
      </c>
      <c r="S578">
        <v>770</v>
      </c>
    </row>
    <row r="579" spans="1:19" x14ac:dyDescent="0.4">
      <c r="A579" t="s">
        <v>67</v>
      </c>
      <c r="B579">
        <v>202206</v>
      </c>
      <c r="C579">
        <v>16600</v>
      </c>
      <c r="D579" t="s">
        <v>64</v>
      </c>
      <c r="E579" t="s">
        <v>63</v>
      </c>
      <c r="F579" t="s">
        <v>63</v>
      </c>
      <c r="G579" t="s">
        <v>63</v>
      </c>
      <c r="H579" t="s">
        <v>63</v>
      </c>
      <c r="I579">
        <v>1100</v>
      </c>
      <c r="J579" t="s">
        <v>68</v>
      </c>
      <c r="K579" t="s">
        <v>68</v>
      </c>
      <c r="L579">
        <v>0</v>
      </c>
      <c r="M579">
        <v>0</v>
      </c>
      <c r="N579">
        <v>0</v>
      </c>
      <c r="O579">
        <v>0</v>
      </c>
      <c r="P579">
        <v>980</v>
      </c>
      <c r="Q579">
        <v>1240</v>
      </c>
      <c r="R579" t="s">
        <v>63</v>
      </c>
      <c r="S579" t="s">
        <v>63</v>
      </c>
    </row>
    <row r="580" spans="1:19" x14ac:dyDescent="0.4">
      <c r="A580" t="s">
        <v>67</v>
      </c>
      <c r="B580">
        <v>202206</v>
      </c>
      <c r="C580">
        <v>16800</v>
      </c>
      <c r="D580" t="s">
        <v>62</v>
      </c>
      <c r="E580" t="s">
        <v>63</v>
      </c>
      <c r="F580" t="s">
        <v>63</v>
      </c>
      <c r="G580" t="s">
        <v>63</v>
      </c>
      <c r="H580" t="s">
        <v>63</v>
      </c>
      <c r="I580">
        <v>850</v>
      </c>
      <c r="J580" t="s">
        <v>68</v>
      </c>
      <c r="K580" t="s">
        <v>68</v>
      </c>
      <c r="L580">
        <v>0</v>
      </c>
      <c r="M580">
        <v>0</v>
      </c>
      <c r="N580">
        <v>0</v>
      </c>
      <c r="O580">
        <v>7</v>
      </c>
      <c r="P580">
        <v>750</v>
      </c>
      <c r="Q580">
        <v>885</v>
      </c>
      <c r="R580">
        <v>1030</v>
      </c>
      <c r="S580">
        <v>660</v>
      </c>
    </row>
    <row r="581" spans="1:19" x14ac:dyDescent="0.4">
      <c r="A581" t="s">
        <v>67</v>
      </c>
      <c r="B581">
        <v>202206</v>
      </c>
      <c r="C581">
        <v>16800</v>
      </c>
      <c r="D581" t="s">
        <v>64</v>
      </c>
      <c r="E581" t="s">
        <v>63</v>
      </c>
      <c r="F581" t="s">
        <v>63</v>
      </c>
      <c r="G581" t="s">
        <v>63</v>
      </c>
      <c r="H581" t="s">
        <v>63</v>
      </c>
      <c r="I581">
        <v>1200</v>
      </c>
      <c r="J581" t="s">
        <v>68</v>
      </c>
      <c r="K581" t="s">
        <v>68</v>
      </c>
      <c r="L581">
        <v>0</v>
      </c>
      <c r="M581">
        <v>0</v>
      </c>
      <c r="N581">
        <v>0</v>
      </c>
      <c r="O581">
        <v>8</v>
      </c>
      <c r="P581">
        <v>1080</v>
      </c>
      <c r="Q581">
        <v>1330</v>
      </c>
      <c r="R581">
        <v>1590</v>
      </c>
      <c r="S581">
        <v>1070</v>
      </c>
    </row>
    <row r="582" spans="1:19" x14ac:dyDescent="0.4">
      <c r="A582" t="s">
        <v>67</v>
      </c>
      <c r="B582">
        <v>202206</v>
      </c>
      <c r="C582">
        <v>17000</v>
      </c>
      <c r="D582" t="s">
        <v>62</v>
      </c>
      <c r="E582" t="s">
        <v>63</v>
      </c>
      <c r="F582" t="s">
        <v>63</v>
      </c>
      <c r="G582" t="s">
        <v>63</v>
      </c>
      <c r="H582" t="s">
        <v>63</v>
      </c>
      <c r="I582">
        <v>760</v>
      </c>
      <c r="J582" t="s">
        <v>68</v>
      </c>
      <c r="K582" t="s">
        <v>68</v>
      </c>
      <c r="L582">
        <v>0</v>
      </c>
      <c r="M582">
        <v>0</v>
      </c>
      <c r="N582">
        <v>0</v>
      </c>
      <c r="O582">
        <v>4</v>
      </c>
      <c r="P582">
        <v>725</v>
      </c>
      <c r="Q582">
        <v>895</v>
      </c>
      <c r="R582">
        <v>940</v>
      </c>
      <c r="S582">
        <v>670</v>
      </c>
    </row>
    <row r="583" spans="1:19" x14ac:dyDescent="0.4">
      <c r="A583" t="s">
        <v>67</v>
      </c>
      <c r="B583">
        <v>202206</v>
      </c>
      <c r="C583">
        <v>17000</v>
      </c>
      <c r="D583" t="s">
        <v>64</v>
      </c>
      <c r="E583" t="s">
        <v>63</v>
      </c>
      <c r="F583" t="s">
        <v>63</v>
      </c>
      <c r="G583" t="s">
        <v>63</v>
      </c>
      <c r="H583" t="s">
        <v>63</v>
      </c>
      <c r="I583">
        <v>1310</v>
      </c>
      <c r="J583" t="s">
        <v>68</v>
      </c>
      <c r="K583" t="s">
        <v>68</v>
      </c>
      <c r="L583">
        <v>0</v>
      </c>
      <c r="M583">
        <v>0</v>
      </c>
      <c r="N583">
        <v>0</v>
      </c>
      <c r="O583">
        <v>18</v>
      </c>
      <c r="P583">
        <v>1180</v>
      </c>
      <c r="Q583">
        <v>1430</v>
      </c>
      <c r="R583">
        <v>1600</v>
      </c>
      <c r="S583">
        <v>1070</v>
      </c>
    </row>
    <row r="584" spans="1:19" x14ac:dyDescent="0.4">
      <c r="A584" t="s">
        <v>67</v>
      </c>
      <c r="B584">
        <v>202206</v>
      </c>
      <c r="C584">
        <v>17200</v>
      </c>
      <c r="D584" t="s">
        <v>62</v>
      </c>
      <c r="E584" t="s">
        <v>63</v>
      </c>
      <c r="F584" t="s">
        <v>63</v>
      </c>
      <c r="G584" t="s">
        <v>63</v>
      </c>
      <c r="H584" t="s">
        <v>63</v>
      </c>
      <c r="I584">
        <v>675</v>
      </c>
      <c r="J584" t="s">
        <v>68</v>
      </c>
      <c r="K584" t="s">
        <v>68</v>
      </c>
      <c r="L584">
        <v>0</v>
      </c>
      <c r="M584">
        <v>0</v>
      </c>
      <c r="N584">
        <v>0</v>
      </c>
      <c r="O584">
        <v>11</v>
      </c>
      <c r="P584">
        <v>560</v>
      </c>
      <c r="Q584">
        <v>695</v>
      </c>
      <c r="R584">
        <v>645</v>
      </c>
      <c r="S584">
        <v>515</v>
      </c>
    </row>
    <row r="585" spans="1:19" x14ac:dyDescent="0.4">
      <c r="A585" t="s">
        <v>67</v>
      </c>
      <c r="B585">
        <v>202206</v>
      </c>
      <c r="C585">
        <v>17200</v>
      </c>
      <c r="D585" t="s">
        <v>64</v>
      </c>
      <c r="E585" t="s">
        <v>63</v>
      </c>
      <c r="F585" t="s">
        <v>63</v>
      </c>
      <c r="G585" t="s">
        <v>63</v>
      </c>
      <c r="H585" t="s">
        <v>63</v>
      </c>
      <c r="I585">
        <v>1430</v>
      </c>
      <c r="J585" t="s">
        <v>68</v>
      </c>
      <c r="K585" t="s">
        <v>68</v>
      </c>
      <c r="L585">
        <v>0</v>
      </c>
      <c r="M585">
        <v>0</v>
      </c>
      <c r="N585">
        <v>0</v>
      </c>
      <c r="O585">
        <v>1</v>
      </c>
      <c r="P585">
        <v>1270</v>
      </c>
      <c r="Q585">
        <v>1540</v>
      </c>
      <c r="R585">
        <v>1190</v>
      </c>
      <c r="S585">
        <v>1190</v>
      </c>
    </row>
    <row r="586" spans="1:19" x14ac:dyDescent="0.4">
      <c r="A586" t="s">
        <v>67</v>
      </c>
      <c r="B586">
        <v>202206</v>
      </c>
      <c r="C586">
        <v>17400</v>
      </c>
      <c r="D586" t="s">
        <v>62</v>
      </c>
      <c r="E586" t="s">
        <v>63</v>
      </c>
      <c r="F586" t="s">
        <v>63</v>
      </c>
      <c r="G586" t="s">
        <v>63</v>
      </c>
      <c r="H586" t="s">
        <v>63</v>
      </c>
      <c r="I586">
        <v>595</v>
      </c>
      <c r="J586" t="s">
        <v>68</v>
      </c>
      <c r="K586" t="s">
        <v>68</v>
      </c>
      <c r="L586">
        <v>0</v>
      </c>
      <c r="M586">
        <v>0</v>
      </c>
      <c r="N586">
        <v>0</v>
      </c>
      <c r="O586">
        <v>22</v>
      </c>
      <c r="P586">
        <v>565</v>
      </c>
      <c r="Q586">
        <v>620</v>
      </c>
      <c r="R586">
        <v>540</v>
      </c>
      <c r="S586">
        <v>510</v>
      </c>
    </row>
    <row r="587" spans="1:19" x14ac:dyDescent="0.4">
      <c r="A587" t="s">
        <v>67</v>
      </c>
      <c r="B587">
        <v>202206</v>
      </c>
      <c r="C587">
        <v>17400</v>
      </c>
      <c r="D587" t="s">
        <v>64</v>
      </c>
      <c r="E587" t="s">
        <v>63</v>
      </c>
      <c r="F587" t="s">
        <v>63</v>
      </c>
      <c r="G587" t="s">
        <v>63</v>
      </c>
      <c r="H587" t="s">
        <v>63</v>
      </c>
      <c r="I587">
        <v>1550</v>
      </c>
      <c r="J587" t="s">
        <v>68</v>
      </c>
      <c r="K587" t="s">
        <v>68</v>
      </c>
      <c r="L587">
        <v>0</v>
      </c>
      <c r="M587">
        <v>0</v>
      </c>
      <c r="N587">
        <v>0</v>
      </c>
      <c r="O587">
        <v>1</v>
      </c>
      <c r="P587">
        <v>1380</v>
      </c>
      <c r="Q587">
        <v>1660</v>
      </c>
      <c r="R587">
        <v>1330</v>
      </c>
      <c r="S587">
        <v>1330</v>
      </c>
    </row>
    <row r="588" spans="1:19" x14ac:dyDescent="0.4">
      <c r="A588" t="s">
        <v>67</v>
      </c>
      <c r="B588">
        <v>202206</v>
      </c>
      <c r="C588">
        <v>17600</v>
      </c>
      <c r="D588" t="s">
        <v>62</v>
      </c>
      <c r="E588" t="s">
        <v>63</v>
      </c>
      <c r="F588" t="s">
        <v>63</v>
      </c>
      <c r="G588" t="s">
        <v>63</v>
      </c>
      <c r="H588" t="s">
        <v>63</v>
      </c>
      <c r="I588">
        <v>520</v>
      </c>
      <c r="J588" t="s">
        <v>68</v>
      </c>
      <c r="K588" t="s">
        <v>68</v>
      </c>
      <c r="L588">
        <v>0</v>
      </c>
      <c r="M588">
        <v>0</v>
      </c>
      <c r="N588">
        <v>0</v>
      </c>
      <c r="O588">
        <v>42</v>
      </c>
      <c r="P588">
        <v>402</v>
      </c>
      <c r="Q588">
        <v>655</v>
      </c>
      <c r="R588">
        <v>720</v>
      </c>
      <c r="S588">
        <v>400</v>
      </c>
    </row>
    <row r="589" spans="1:19" x14ac:dyDescent="0.4">
      <c r="A589" t="s">
        <v>67</v>
      </c>
      <c r="B589">
        <v>202206</v>
      </c>
      <c r="C589">
        <v>17600</v>
      </c>
      <c r="D589" t="s">
        <v>64</v>
      </c>
      <c r="E589" t="s">
        <v>63</v>
      </c>
      <c r="F589" t="s">
        <v>63</v>
      </c>
      <c r="G589" t="s">
        <v>63</v>
      </c>
      <c r="H589" t="s">
        <v>63</v>
      </c>
      <c r="I589">
        <v>1670</v>
      </c>
      <c r="J589" t="s">
        <v>68</v>
      </c>
      <c r="K589" t="s">
        <v>68</v>
      </c>
      <c r="L589">
        <v>0</v>
      </c>
      <c r="M589">
        <v>0</v>
      </c>
      <c r="N589">
        <v>0</v>
      </c>
      <c r="O589">
        <v>1</v>
      </c>
      <c r="P589">
        <v>1540</v>
      </c>
      <c r="Q589">
        <v>1780</v>
      </c>
      <c r="R589">
        <v>1640</v>
      </c>
      <c r="S589">
        <v>1640</v>
      </c>
    </row>
    <row r="590" spans="1:19" x14ac:dyDescent="0.4">
      <c r="A590" t="s">
        <v>67</v>
      </c>
      <c r="B590">
        <v>202206</v>
      </c>
      <c r="C590">
        <v>17800</v>
      </c>
      <c r="D590" t="s">
        <v>62</v>
      </c>
      <c r="E590" t="s">
        <v>63</v>
      </c>
      <c r="F590" t="s">
        <v>63</v>
      </c>
      <c r="G590" t="s">
        <v>63</v>
      </c>
      <c r="H590" t="s">
        <v>63</v>
      </c>
      <c r="I590">
        <v>453</v>
      </c>
      <c r="J590" t="s">
        <v>68</v>
      </c>
      <c r="K590" t="s">
        <v>68</v>
      </c>
      <c r="L590">
        <v>0</v>
      </c>
      <c r="M590">
        <v>0</v>
      </c>
      <c r="N590">
        <v>0</v>
      </c>
      <c r="O590">
        <v>27</v>
      </c>
      <c r="P590">
        <v>427</v>
      </c>
      <c r="Q590">
        <v>460</v>
      </c>
      <c r="R590">
        <v>700</v>
      </c>
      <c r="S590">
        <v>360</v>
      </c>
    </row>
    <row r="591" spans="1:19" x14ac:dyDescent="0.4">
      <c r="A591" t="s">
        <v>67</v>
      </c>
      <c r="B591">
        <v>202206</v>
      </c>
      <c r="C591">
        <v>17800</v>
      </c>
      <c r="D591" t="s">
        <v>64</v>
      </c>
      <c r="E591" t="s">
        <v>63</v>
      </c>
      <c r="F591" t="s">
        <v>63</v>
      </c>
      <c r="G591" t="s">
        <v>63</v>
      </c>
      <c r="H591" t="s">
        <v>63</v>
      </c>
      <c r="I591">
        <v>1800</v>
      </c>
      <c r="J591" t="s">
        <v>68</v>
      </c>
      <c r="K591" t="s">
        <v>68</v>
      </c>
      <c r="L591">
        <v>0</v>
      </c>
      <c r="M591">
        <v>0</v>
      </c>
      <c r="N591">
        <v>0</v>
      </c>
      <c r="O591">
        <v>0</v>
      </c>
      <c r="P591">
        <v>1650</v>
      </c>
      <c r="Q591">
        <v>1910</v>
      </c>
      <c r="R591" t="s">
        <v>63</v>
      </c>
      <c r="S591" t="s">
        <v>63</v>
      </c>
    </row>
    <row r="592" spans="1:19" x14ac:dyDescent="0.4">
      <c r="A592" t="s">
        <v>67</v>
      </c>
      <c r="B592">
        <v>202206</v>
      </c>
      <c r="C592">
        <v>18000</v>
      </c>
      <c r="D592" t="s">
        <v>62</v>
      </c>
      <c r="E592" t="s">
        <v>63</v>
      </c>
      <c r="F592" t="s">
        <v>63</v>
      </c>
      <c r="G592" t="s">
        <v>63</v>
      </c>
      <c r="H592" t="s">
        <v>63</v>
      </c>
      <c r="I592">
        <v>391</v>
      </c>
      <c r="J592" t="s">
        <v>68</v>
      </c>
      <c r="K592" t="s">
        <v>68</v>
      </c>
      <c r="L592">
        <v>2</v>
      </c>
      <c r="M592">
        <v>0</v>
      </c>
      <c r="N592">
        <v>2</v>
      </c>
      <c r="O592">
        <v>168</v>
      </c>
      <c r="P592">
        <v>367</v>
      </c>
      <c r="Q592">
        <v>416</v>
      </c>
      <c r="R592">
        <v>615</v>
      </c>
      <c r="S592">
        <v>300</v>
      </c>
    </row>
    <row r="593" spans="1:19" x14ac:dyDescent="0.4">
      <c r="A593" t="s">
        <v>67</v>
      </c>
      <c r="B593">
        <v>202206</v>
      </c>
      <c r="C593">
        <v>18000</v>
      </c>
      <c r="D593" t="s">
        <v>64</v>
      </c>
      <c r="E593" t="s">
        <v>63</v>
      </c>
      <c r="F593" t="s">
        <v>63</v>
      </c>
      <c r="G593" t="s">
        <v>63</v>
      </c>
      <c r="H593" t="s">
        <v>63</v>
      </c>
      <c r="I593">
        <v>1940</v>
      </c>
      <c r="J593" t="s">
        <v>68</v>
      </c>
      <c r="K593" t="s">
        <v>68</v>
      </c>
      <c r="L593">
        <v>0</v>
      </c>
      <c r="M593">
        <v>0</v>
      </c>
      <c r="N593">
        <v>0</v>
      </c>
      <c r="O593">
        <v>0</v>
      </c>
      <c r="P593">
        <v>1820</v>
      </c>
      <c r="Q593">
        <v>2050</v>
      </c>
      <c r="R593" t="s">
        <v>63</v>
      </c>
      <c r="S593" t="s">
        <v>63</v>
      </c>
    </row>
    <row r="594" spans="1:19" x14ac:dyDescent="0.4">
      <c r="A594" t="s">
        <v>67</v>
      </c>
      <c r="B594">
        <v>202206</v>
      </c>
      <c r="C594">
        <v>18200</v>
      </c>
      <c r="D594" t="s">
        <v>62</v>
      </c>
      <c r="E594" t="s">
        <v>63</v>
      </c>
      <c r="F594" t="s">
        <v>63</v>
      </c>
      <c r="G594" t="s">
        <v>63</v>
      </c>
      <c r="H594" t="s">
        <v>63</v>
      </c>
      <c r="I594">
        <v>335</v>
      </c>
      <c r="J594" t="s">
        <v>68</v>
      </c>
      <c r="K594" t="s">
        <v>68</v>
      </c>
      <c r="L594">
        <v>0</v>
      </c>
      <c r="M594">
        <v>0</v>
      </c>
      <c r="N594">
        <v>0</v>
      </c>
      <c r="O594">
        <v>31</v>
      </c>
      <c r="P594">
        <v>315</v>
      </c>
      <c r="Q594">
        <v>359</v>
      </c>
      <c r="R594">
        <v>530</v>
      </c>
      <c r="S594">
        <v>288</v>
      </c>
    </row>
    <row r="595" spans="1:19" x14ac:dyDescent="0.4">
      <c r="A595" t="s">
        <v>67</v>
      </c>
      <c r="B595">
        <v>202206</v>
      </c>
      <c r="C595">
        <v>18200</v>
      </c>
      <c r="D595" t="s">
        <v>64</v>
      </c>
      <c r="E595" t="s">
        <v>63</v>
      </c>
      <c r="F595" t="s">
        <v>63</v>
      </c>
      <c r="G595" t="s">
        <v>63</v>
      </c>
      <c r="H595" t="s">
        <v>63</v>
      </c>
      <c r="I595">
        <v>2080</v>
      </c>
      <c r="J595" t="s">
        <v>68</v>
      </c>
      <c r="K595" t="s">
        <v>68</v>
      </c>
      <c r="L595">
        <v>0</v>
      </c>
      <c r="M595">
        <v>0</v>
      </c>
      <c r="N595">
        <v>0</v>
      </c>
      <c r="O595">
        <v>0</v>
      </c>
      <c r="P595">
        <v>1960</v>
      </c>
      <c r="Q595">
        <v>2230</v>
      </c>
      <c r="R595" t="s">
        <v>63</v>
      </c>
      <c r="S595" t="s">
        <v>63</v>
      </c>
    </row>
    <row r="596" spans="1:19" x14ac:dyDescent="0.4">
      <c r="A596" t="s">
        <v>67</v>
      </c>
      <c r="B596">
        <v>202206</v>
      </c>
      <c r="C596">
        <v>18400</v>
      </c>
      <c r="D596" t="s">
        <v>62</v>
      </c>
      <c r="E596">
        <v>285</v>
      </c>
      <c r="F596">
        <v>285</v>
      </c>
      <c r="G596">
        <v>285</v>
      </c>
      <c r="H596">
        <v>285</v>
      </c>
      <c r="I596">
        <v>285</v>
      </c>
      <c r="J596" t="s">
        <v>247</v>
      </c>
      <c r="K596" t="s">
        <v>535</v>
      </c>
      <c r="L596">
        <v>0</v>
      </c>
      <c r="M596">
        <v>3</v>
      </c>
      <c r="N596">
        <v>3</v>
      </c>
      <c r="O596">
        <v>6</v>
      </c>
      <c r="P596">
        <v>267</v>
      </c>
      <c r="Q596">
        <v>307</v>
      </c>
      <c r="R596">
        <v>438</v>
      </c>
      <c r="S596">
        <v>240</v>
      </c>
    </row>
    <row r="597" spans="1:19" x14ac:dyDescent="0.4">
      <c r="A597" t="s">
        <v>67</v>
      </c>
      <c r="B597">
        <v>202206</v>
      </c>
      <c r="C597">
        <v>18400</v>
      </c>
      <c r="D597" t="s">
        <v>64</v>
      </c>
      <c r="E597" t="s">
        <v>63</v>
      </c>
      <c r="F597" t="s">
        <v>63</v>
      </c>
      <c r="G597" t="s">
        <v>63</v>
      </c>
      <c r="H597" t="s">
        <v>63</v>
      </c>
      <c r="I597">
        <v>2230</v>
      </c>
      <c r="J597" t="s">
        <v>68</v>
      </c>
      <c r="K597" t="s">
        <v>68</v>
      </c>
      <c r="L597">
        <v>0</v>
      </c>
      <c r="M597">
        <v>0</v>
      </c>
      <c r="N597">
        <v>0</v>
      </c>
      <c r="O597">
        <v>0</v>
      </c>
      <c r="P597">
        <v>2090</v>
      </c>
      <c r="Q597">
        <v>2370</v>
      </c>
      <c r="R597" t="s">
        <v>63</v>
      </c>
      <c r="S597" t="s">
        <v>63</v>
      </c>
    </row>
    <row r="598" spans="1:19" x14ac:dyDescent="0.4">
      <c r="A598" t="s">
        <v>67</v>
      </c>
      <c r="B598">
        <v>202206</v>
      </c>
      <c r="C598">
        <v>18600</v>
      </c>
      <c r="D598" t="s">
        <v>62</v>
      </c>
      <c r="E598" t="s">
        <v>63</v>
      </c>
      <c r="F598" t="s">
        <v>63</v>
      </c>
      <c r="G598" t="s">
        <v>63</v>
      </c>
      <c r="H598" t="s">
        <v>63</v>
      </c>
      <c r="I598">
        <v>247</v>
      </c>
      <c r="J598" t="s">
        <v>68</v>
      </c>
      <c r="K598" t="s">
        <v>68</v>
      </c>
      <c r="L598">
        <v>0</v>
      </c>
      <c r="M598">
        <v>0</v>
      </c>
      <c r="N598">
        <v>0</v>
      </c>
      <c r="O598">
        <v>2</v>
      </c>
      <c r="P598">
        <v>223</v>
      </c>
      <c r="Q598">
        <v>268</v>
      </c>
      <c r="R598">
        <v>228</v>
      </c>
      <c r="S598">
        <v>206</v>
      </c>
    </row>
    <row r="599" spans="1:19" x14ac:dyDescent="0.4">
      <c r="A599" t="s">
        <v>67</v>
      </c>
      <c r="B599">
        <v>202206</v>
      </c>
      <c r="C599">
        <v>18600</v>
      </c>
      <c r="D599" t="s">
        <v>64</v>
      </c>
      <c r="E599" t="s">
        <v>63</v>
      </c>
      <c r="F599" t="s">
        <v>63</v>
      </c>
      <c r="G599" t="s">
        <v>63</v>
      </c>
      <c r="H599" t="s">
        <v>63</v>
      </c>
      <c r="I599">
        <v>2390</v>
      </c>
      <c r="J599" t="s">
        <v>68</v>
      </c>
      <c r="K599" t="s">
        <v>68</v>
      </c>
      <c r="L599">
        <v>0</v>
      </c>
      <c r="M599">
        <v>0</v>
      </c>
      <c r="N599">
        <v>0</v>
      </c>
      <c r="O599">
        <v>0</v>
      </c>
      <c r="P599">
        <v>2250</v>
      </c>
      <c r="Q599">
        <v>2530</v>
      </c>
      <c r="R599" t="s">
        <v>63</v>
      </c>
      <c r="S599" t="s">
        <v>63</v>
      </c>
    </row>
    <row r="600" spans="1:19" x14ac:dyDescent="0.4">
      <c r="A600" t="s">
        <v>67</v>
      </c>
      <c r="B600">
        <v>202206</v>
      </c>
      <c r="C600">
        <v>18800</v>
      </c>
      <c r="D600" t="s">
        <v>62</v>
      </c>
      <c r="E600" t="s">
        <v>63</v>
      </c>
      <c r="F600" t="s">
        <v>63</v>
      </c>
      <c r="G600" t="s">
        <v>63</v>
      </c>
      <c r="H600" t="s">
        <v>63</v>
      </c>
      <c r="I600">
        <v>214</v>
      </c>
      <c r="J600" t="s">
        <v>68</v>
      </c>
      <c r="K600" t="s">
        <v>68</v>
      </c>
      <c r="L600">
        <v>0</v>
      </c>
      <c r="M600">
        <v>0</v>
      </c>
      <c r="N600">
        <v>0</v>
      </c>
      <c r="O600">
        <v>3</v>
      </c>
      <c r="P600">
        <v>189</v>
      </c>
      <c r="Q600">
        <v>233</v>
      </c>
      <c r="R600">
        <v>338</v>
      </c>
      <c r="S600">
        <v>184</v>
      </c>
    </row>
    <row r="601" spans="1:19" x14ac:dyDescent="0.4">
      <c r="A601" t="s">
        <v>67</v>
      </c>
      <c r="B601">
        <v>202206</v>
      </c>
      <c r="C601">
        <v>18800</v>
      </c>
      <c r="D601" t="s">
        <v>64</v>
      </c>
      <c r="E601" t="s">
        <v>63</v>
      </c>
      <c r="F601" t="s">
        <v>63</v>
      </c>
      <c r="G601" t="s">
        <v>63</v>
      </c>
      <c r="H601" t="s">
        <v>63</v>
      </c>
      <c r="I601">
        <v>2560</v>
      </c>
      <c r="J601" t="s">
        <v>68</v>
      </c>
      <c r="K601" t="s">
        <v>68</v>
      </c>
      <c r="L601">
        <v>0</v>
      </c>
      <c r="M601">
        <v>0</v>
      </c>
      <c r="N601">
        <v>0</v>
      </c>
      <c r="O601">
        <v>0</v>
      </c>
      <c r="P601">
        <v>2420</v>
      </c>
      <c r="Q601">
        <v>2690</v>
      </c>
      <c r="R601" t="s">
        <v>63</v>
      </c>
      <c r="S601" t="s">
        <v>63</v>
      </c>
    </row>
    <row r="602" spans="1:19" x14ac:dyDescent="0.4">
      <c r="A602" t="s">
        <v>67</v>
      </c>
      <c r="B602">
        <v>202206</v>
      </c>
      <c r="C602">
        <v>19000</v>
      </c>
      <c r="D602" t="s">
        <v>62</v>
      </c>
      <c r="E602" t="s">
        <v>63</v>
      </c>
      <c r="F602" t="s">
        <v>63</v>
      </c>
      <c r="G602" t="s">
        <v>63</v>
      </c>
      <c r="H602" t="s">
        <v>63</v>
      </c>
      <c r="I602">
        <v>180</v>
      </c>
      <c r="J602" t="s">
        <v>68</v>
      </c>
      <c r="K602" t="s">
        <v>68</v>
      </c>
      <c r="L602">
        <v>0</v>
      </c>
      <c r="M602">
        <v>0</v>
      </c>
      <c r="N602">
        <v>0</v>
      </c>
      <c r="O602">
        <v>6</v>
      </c>
      <c r="P602">
        <v>162</v>
      </c>
      <c r="Q602">
        <v>180</v>
      </c>
      <c r="R602">
        <v>199</v>
      </c>
      <c r="S602">
        <v>160</v>
      </c>
    </row>
    <row r="603" spans="1:19" x14ac:dyDescent="0.4">
      <c r="A603" t="s">
        <v>67</v>
      </c>
      <c r="B603">
        <v>202206</v>
      </c>
      <c r="C603">
        <v>19000</v>
      </c>
      <c r="D603" t="s">
        <v>64</v>
      </c>
      <c r="E603" t="s">
        <v>63</v>
      </c>
      <c r="F603" t="s">
        <v>63</v>
      </c>
      <c r="G603" t="s">
        <v>63</v>
      </c>
      <c r="H603" t="s">
        <v>63</v>
      </c>
      <c r="I603">
        <v>2720</v>
      </c>
      <c r="J603" t="s">
        <v>68</v>
      </c>
      <c r="K603" t="s">
        <v>68</v>
      </c>
      <c r="L603">
        <v>0</v>
      </c>
      <c r="M603">
        <v>0</v>
      </c>
      <c r="N603">
        <v>0</v>
      </c>
      <c r="O603">
        <v>0</v>
      </c>
      <c r="P603">
        <v>2590</v>
      </c>
      <c r="Q603">
        <v>2860</v>
      </c>
      <c r="R603" t="s">
        <v>63</v>
      </c>
      <c r="S603" t="s">
        <v>63</v>
      </c>
    </row>
    <row r="604" spans="1:19" x14ac:dyDescent="0.4">
      <c r="A604" t="s">
        <v>67</v>
      </c>
      <c r="B604">
        <v>202206</v>
      </c>
      <c r="C604">
        <v>19200</v>
      </c>
      <c r="D604" t="s">
        <v>62</v>
      </c>
      <c r="E604" t="s">
        <v>63</v>
      </c>
      <c r="F604" t="s">
        <v>63</v>
      </c>
      <c r="G604" t="s">
        <v>63</v>
      </c>
      <c r="H604" t="s">
        <v>63</v>
      </c>
      <c r="I604">
        <v>158</v>
      </c>
      <c r="J604" t="s">
        <v>68</v>
      </c>
      <c r="K604" t="s">
        <v>68</v>
      </c>
      <c r="L604">
        <v>0</v>
      </c>
      <c r="M604">
        <v>0</v>
      </c>
      <c r="N604">
        <v>0</v>
      </c>
      <c r="O604">
        <v>10</v>
      </c>
      <c r="P604">
        <v>138</v>
      </c>
      <c r="Q604">
        <v>175</v>
      </c>
      <c r="R604">
        <v>280</v>
      </c>
      <c r="S604">
        <v>140</v>
      </c>
    </row>
    <row r="605" spans="1:19" x14ac:dyDescent="0.4">
      <c r="A605" t="s">
        <v>67</v>
      </c>
      <c r="B605">
        <v>202206</v>
      </c>
      <c r="C605">
        <v>19200</v>
      </c>
      <c r="D605" t="s">
        <v>64</v>
      </c>
      <c r="E605" t="s">
        <v>63</v>
      </c>
      <c r="F605" t="s">
        <v>63</v>
      </c>
      <c r="G605" t="s">
        <v>63</v>
      </c>
      <c r="H605" t="s">
        <v>63</v>
      </c>
      <c r="I605">
        <v>2900</v>
      </c>
      <c r="J605" t="s">
        <v>68</v>
      </c>
      <c r="K605" t="s">
        <v>68</v>
      </c>
      <c r="L605">
        <v>0</v>
      </c>
      <c r="M605">
        <v>0</v>
      </c>
      <c r="N605">
        <v>0</v>
      </c>
      <c r="O605">
        <v>0</v>
      </c>
      <c r="P605">
        <v>2760</v>
      </c>
      <c r="Q605">
        <v>3030</v>
      </c>
      <c r="R605" t="s">
        <v>63</v>
      </c>
      <c r="S605" t="s">
        <v>63</v>
      </c>
    </row>
    <row r="606" spans="1:19" x14ac:dyDescent="0.4">
      <c r="A606" t="s">
        <v>67</v>
      </c>
      <c r="B606">
        <v>202206</v>
      </c>
      <c r="C606">
        <v>19400</v>
      </c>
      <c r="D606" t="s">
        <v>62</v>
      </c>
      <c r="E606" t="s">
        <v>63</v>
      </c>
      <c r="F606" t="s">
        <v>63</v>
      </c>
      <c r="G606" t="s">
        <v>63</v>
      </c>
      <c r="H606" t="s">
        <v>63</v>
      </c>
      <c r="I606">
        <v>135</v>
      </c>
      <c r="J606" t="s">
        <v>68</v>
      </c>
      <c r="K606" t="s">
        <v>68</v>
      </c>
      <c r="L606">
        <v>0</v>
      </c>
      <c r="M606">
        <v>0</v>
      </c>
      <c r="N606">
        <v>0</v>
      </c>
      <c r="O606">
        <v>9</v>
      </c>
      <c r="P606">
        <v>114</v>
      </c>
      <c r="Q606">
        <v>150</v>
      </c>
      <c r="R606">
        <v>240</v>
      </c>
      <c r="S606">
        <v>140</v>
      </c>
    </row>
    <row r="607" spans="1:19" x14ac:dyDescent="0.4">
      <c r="A607" t="s">
        <v>67</v>
      </c>
      <c r="B607">
        <v>202206</v>
      </c>
      <c r="C607">
        <v>19400</v>
      </c>
      <c r="D607" t="s">
        <v>64</v>
      </c>
      <c r="E607" t="s">
        <v>63</v>
      </c>
      <c r="F607" t="s">
        <v>63</v>
      </c>
      <c r="G607" t="s">
        <v>63</v>
      </c>
      <c r="H607" t="s">
        <v>63</v>
      </c>
      <c r="I607">
        <v>3080</v>
      </c>
      <c r="J607" t="s">
        <v>68</v>
      </c>
      <c r="K607" t="s">
        <v>68</v>
      </c>
      <c r="L607">
        <v>0</v>
      </c>
      <c r="M607">
        <v>0</v>
      </c>
      <c r="N607">
        <v>0</v>
      </c>
      <c r="O607">
        <v>0</v>
      </c>
      <c r="P607">
        <v>2920</v>
      </c>
      <c r="Q607">
        <v>3220</v>
      </c>
      <c r="R607" t="s">
        <v>63</v>
      </c>
      <c r="S607" t="s">
        <v>63</v>
      </c>
    </row>
    <row r="608" spans="1:19" x14ac:dyDescent="0.4">
      <c r="A608" t="s">
        <v>67</v>
      </c>
      <c r="B608">
        <v>202206</v>
      </c>
      <c r="C608">
        <v>19600</v>
      </c>
      <c r="D608" t="s">
        <v>62</v>
      </c>
      <c r="E608" t="s">
        <v>63</v>
      </c>
      <c r="F608" t="s">
        <v>63</v>
      </c>
      <c r="G608" t="s">
        <v>63</v>
      </c>
      <c r="H608" t="s">
        <v>63</v>
      </c>
      <c r="I608">
        <v>115</v>
      </c>
      <c r="J608" t="s">
        <v>68</v>
      </c>
      <c r="K608" t="s">
        <v>68</v>
      </c>
      <c r="L608">
        <v>0</v>
      </c>
      <c r="M608">
        <v>0</v>
      </c>
      <c r="N608">
        <v>0</v>
      </c>
      <c r="O608">
        <v>0</v>
      </c>
      <c r="P608">
        <v>41.5</v>
      </c>
      <c r="Q608">
        <v>177</v>
      </c>
      <c r="R608" t="s">
        <v>63</v>
      </c>
      <c r="S608" t="s">
        <v>63</v>
      </c>
    </row>
    <row r="609" spans="1:19" x14ac:dyDescent="0.4">
      <c r="A609" t="s">
        <v>67</v>
      </c>
      <c r="B609">
        <v>202206</v>
      </c>
      <c r="C609">
        <v>19600</v>
      </c>
      <c r="D609" t="s">
        <v>64</v>
      </c>
      <c r="E609" t="s">
        <v>63</v>
      </c>
      <c r="F609" t="s">
        <v>63</v>
      </c>
      <c r="G609" t="s">
        <v>63</v>
      </c>
      <c r="H609" t="s">
        <v>63</v>
      </c>
      <c r="I609">
        <v>3260</v>
      </c>
      <c r="J609" t="s">
        <v>68</v>
      </c>
      <c r="K609" t="s">
        <v>68</v>
      </c>
      <c r="L609">
        <v>0</v>
      </c>
      <c r="M609">
        <v>0</v>
      </c>
      <c r="N609">
        <v>0</v>
      </c>
      <c r="O609">
        <v>0</v>
      </c>
      <c r="P609">
        <v>3100</v>
      </c>
      <c r="Q609">
        <v>3400</v>
      </c>
      <c r="R609" t="s">
        <v>63</v>
      </c>
      <c r="S609" t="s">
        <v>63</v>
      </c>
    </row>
    <row r="610" spans="1:19" x14ac:dyDescent="0.4">
      <c r="A610" t="s">
        <v>67</v>
      </c>
      <c r="B610">
        <v>202206</v>
      </c>
      <c r="C610">
        <v>19800</v>
      </c>
      <c r="D610" t="s">
        <v>62</v>
      </c>
      <c r="E610" t="s">
        <v>63</v>
      </c>
      <c r="F610" t="s">
        <v>63</v>
      </c>
      <c r="G610" t="s">
        <v>63</v>
      </c>
      <c r="H610" t="s">
        <v>63</v>
      </c>
      <c r="I610">
        <v>97</v>
      </c>
      <c r="J610" t="s">
        <v>68</v>
      </c>
      <c r="K610" t="s">
        <v>68</v>
      </c>
      <c r="L610">
        <v>0</v>
      </c>
      <c r="M610">
        <v>0</v>
      </c>
      <c r="N610">
        <v>0</v>
      </c>
      <c r="O610">
        <v>5</v>
      </c>
      <c r="P610">
        <v>83</v>
      </c>
      <c r="Q610">
        <v>115</v>
      </c>
      <c r="R610">
        <v>200</v>
      </c>
      <c r="S610">
        <v>100</v>
      </c>
    </row>
    <row r="611" spans="1:19" x14ac:dyDescent="0.4">
      <c r="A611" t="s">
        <v>67</v>
      </c>
      <c r="B611">
        <v>202206</v>
      </c>
      <c r="C611">
        <v>19800</v>
      </c>
      <c r="D611" t="s">
        <v>64</v>
      </c>
      <c r="E611" t="s">
        <v>63</v>
      </c>
      <c r="F611" t="s">
        <v>63</v>
      </c>
      <c r="G611" t="s">
        <v>63</v>
      </c>
      <c r="H611" t="s">
        <v>63</v>
      </c>
      <c r="I611">
        <v>3440</v>
      </c>
      <c r="J611" t="s">
        <v>68</v>
      </c>
      <c r="K611" t="s">
        <v>68</v>
      </c>
      <c r="L611">
        <v>0</v>
      </c>
      <c r="M611">
        <v>0</v>
      </c>
      <c r="N611">
        <v>0</v>
      </c>
      <c r="O611">
        <v>0</v>
      </c>
      <c r="P611">
        <v>3290</v>
      </c>
      <c r="Q611">
        <v>3580</v>
      </c>
      <c r="R611" t="s">
        <v>63</v>
      </c>
      <c r="S611" t="s">
        <v>63</v>
      </c>
    </row>
    <row r="612" spans="1:19" x14ac:dyDescent="0.4">
      <c r="A612" t="s">
        <v>67</v>
      </c>
      <c r="B612">
        <v>202206</v>
      </c>
      <c r="C612">
        <v>20000</v>
      </c>
      <c r="D612" t="s">
        <v>62</v>
      </c>
      <c r="E612">
        <v>82</v>
      </c>
      <c r="F612">
        <v>82</v>
      </c>
      <c r="G612">
        <v>82</v>
      </c>
      <c r="H612">
        <v>82</v>
      </c>
      <c r="I612">
        <v>82</v>
      </c>
      <c r="J612" t="s">
        <v>138</v>
      </c>
      <c r="K612" t="s">
        <v>536</v>
      </c>
      <c r="L612">
        <v>1</v>
      </c>
      <c r="M612">
        <v>2</v>
      </c>
      <c r="N612">
        <v>3</v>
      </c>
      <c r="O612">
        <v>15</v>
      </c>
      <c r="P612">
        <v>20</v>
      </c>
      <c r="Q612">
        <v>90</v>
      </c>
      <c r="R612">
        <v>160</v>
      </c>
      <c r="S612">
        <v>80</v>
      </c>
    </row>
    <row r="613" spans="1:19" x14ac:dyDescent="0.4">
      <c r="A613" t="s">
        <v>67</v>
      </c>
      <c r="B613">
        <v>202206</v>
      </c>
      <c r="C613">
        <v>20000</v>
      </c>
      <c r="D613" t="s">
        <v>64</v>
      </c>
      <c r="E613" t="s">
        <v>63</v>
      </c>
      <c r="F613" t="s">
        <v>63</v>
      </c>
      <c r="G613" t="s">
        <v>63</v>
      </c>
      <c r="H613" t="s">
        <v>63</v>
      </c>
      <c r="I613">
        <v>3620</v>
      </c>
      <c r="J613" t="s">
        <v>68</v>
      </c>
      <c r="K613" t="s">
        <v>68</v>
      </c>
      <c r="L613">
        <v>0</v>
      </c>
      <c r="M613">
        <v>0</v>
      </c>
      <c r="N613">
        <v>0</v>
      </c>
      <c r="O613">
        <v>0</v>
      </c>
      <c r="P613">
        <v>3470</v>
      </c>
      <c r="Q613">
        <v>3770</v>
      </c>
      <c r="R613" t="s">
        <v>63</v>
      </c>
      <c r="S613" t="s">
        <v>63</v>
      </c>
    </row>
    <row r="614" spans="1:19" x14ac:dyDescent="0.4">
      <c r="A614" t="s">
        <v>67</v>
      </c>
      <c r="B614">
        <v>202206</v>
      </c>
      <c r="C614">
        <v>20200</v>
      </c>
      <c r="D614" t="s">
        <v>62</v>
      </c>
      <c r="E614" t="s">
        <v>63</v>
      </c>
      <c r="F614" t="s">
        <v>63</v>
      </c>
      <c r="G614" t="s">
        <v>63</v>
      </c>
      <c r="H614" t="s">
        <v>63</v>
      </c>
      <c r="I614">
        <v>73</v>
      </c>
      <c r="J614" t="s">
        <v>68</v>
      </c>
      <c r="K614" t="s">
        <v>68</v>
      </c>
      <c r="L614">
        <v>0</v>
      </c>
      <c r="M614">
        <v>0</v>
      </c>
      <c r="N614">
        <v>0</v>
      </c>
      <c r="O614">
        <v>14</v>
      </c>
      <c r="P614">
        <v>60</v>
      </c>
      <c r="Q614">
        <v>92</v>
      </c>
      <c r="R614">
        <v>112</v>
      </c>
      <c r="S614">
        <v>71</v>
      </c>
    </row>
    <row r="615" spans="1:19" x14ac:dyDescent="0.4">
      <c r="A615" t="s">
        <v>67</v>
      </c>
      <c r="B615">
        <v>202206</v>
      </c>
      <c r="C615">
        <v>20200</v>
      </c>
      <c r="D615" t="s">
        <v>64</v>
      </c>
      <c r="E615" t="s">
        <v>63</v>
      </c>
      <c r="F615" t="s">
        <v>63</v>
      </c>
      <c r="G615" t="s">
        <v>63</v>
      </c>
      <c r="H615" t="s">
        <v>63</v>
      </c>
      <c r="I615">
        <v>3810</v>
      </c>
      <c r="J615" t="s">
        <v>68</v>
      </c>
      <c r="K615" t="s">
        <v>68</v>
      </c>
      <c r="L615">
        <v>0</v>
      </c>
      <c r="M615">
        <v>0</v>
      </c>
      <c r="N615">
        <v>0</v>
      </c>
      <c r="O615">
        <v>0</v>
      </c>
      <c r="P615">
        <v>3660</v>
      </c>
      <c r="Q615">
        <v>3950</v>
      </c>
      <c r="R615" t="s">
        <v>63</v>
      </c>
      <c r="S615" t="s">
        <v>63</v>
      </c>
    </row>
    <row r="616" spans="1:19" x14ac:dyDescent="0.4">
      <c r="A616" t="s">
        <v>67</v>
      </c>
      <c r="B616">
        <v>202206</v>
      </c>
      <c r="C616">
        <v>20400</v>
      </c>
      <c r="D616" t="s">
        <v>62</v>
      </c>
      <c r="E616" t="s">
        <v>63</v>
      </c>
      <c r="F616" t="s">
        <v>63</v>
      </c>
      <c r="G616" t="s">
        <v>63</v>
      </c>
      <c r="H616" t="s">
        <v>63</v>
      </c>
      <c r="I616">
        <v>65</v>
      </c>
      <c r="J616" t="s">
        <v>68</v>
      </c>
      <c r="K616" s="28" t="s">
        <v>68</v>
      </c>
      <c r="L616">
        <v>0</v>
      </c>
      <c r="M616">
        <v>0</v>
      </c>
      <c r="N616">
        <v>0</v>
      </c>
      <c r="O616">
        <v>15</v>
      </c>
      <c r="P616">
        <v>6.4</v>
      </c>
      <c r="Q616">
        <v>207</v>
      </c>
      <c r="R616">
        <v>97</v>
      </c>
      <c r="S616">
        <v>74</v>
      </c>
    </row>
    <row r="617" spans="1:19" x14ac:dyDescent="0.4">
      <c r="A617" t="s">
        <v>67</v>
      </c>
      <c r="B617">
        <v>202206</v>
      </c>
      <c r="C617">
        <v>20400</v>
      </c>
      <c r="D617" t="s">
        <v>64</v>
      </c>
      <c r="E617" t="s">
        <v>63</v>
      </c>
      <c r="F617" t="s">
        <v>63</v>
      </c>
      <c r="G617" t="s">
        <v>63</v>
      </c>
      <c r="H617" t="s">
        <v>63</v>
      </c>
      <c r="I617">
        <v>4000</v>
      </c>
      <c r="J617" t="s">
        <v>68</v>
      </c>
      <c r="K617" t="s">
        <v>68</v>
      </c>
      <c r="L617">
        <v>0</v>
      </c>
      <c r="M617">
        <v>0</v>
      </c>
      <c r="N617">
        <v>0</v>
      </c>
      <c r="O617">
        <v>0</v>
      </c>
      <c r="P617">
        <v>3850</v>
      </c>
      <c r="Q617">
        <v>4140</v>
      </c>
      <c r="R617" t="s">
        <v>63</v>
      </c>
      <c r="S617" t="s">
        <v>63</v>
      </c>
    </row>
    <row r="618" spans="1:19" x14ac:dyDescent="0.4">
      <c r="A618" t="s">
        <v>67</v>
      </c>
      <c r="B618">
        <v>202206</v>
      </c>
      <c r="C618">
        <v>20600</v>
      </c>
      <c r="D618" t="s">
        <v>62</v>
      </c>
      <c r="E618" t="s">
        <v>63</v>
      </c>
      <c r="F618" t="s">
        <v>63</v>
      </c>
      <c r="G618" t="s">
        <v>63</v>
      </c>
      <c r="H618" t="s">
        <v>63</v>
      </c>
      <c r="I618">
        <v>58</v>
      </c>
      <c r="J618" t="s">
        <v>68</v>
      </c>
      <c r="K618" t="s">
        <v>68</v>
      </c>
      <c r="L618">
        <v>0</v>
      </c>
      <c r="M618">
        <v>0</v>
      </c>
      <c r="N618">
        <v>0</v>
      </c>
      <c r="O618">
        <v>17</v>
      </c>
      <c r="P618">
        <v>5.4</v>
      </c>
      <c r="Q618">
        <v>199</v>
      </c>
      <c r="R618">
        <v>85</v>
      </c>
      <c r="S618">
        <v>68</v>
      </c>
    </row>
    <row r="619" spans="1:19" x14ac:dyDescent="0.4">
      <c r="A619" t="s">
        <v>67</v>
      </c>
      <c r="B619">
        <v>202206</v>
      </c>
      <c r="C619">
        <v>20600</v>
      </c>
      <c r="D619" t="s">
        <v>64</v>
      </c>
      <c r="E619" t="s">
        <v>63</v>
      </c>
      <c r="F619" t="s">
        <v>63</v>
      </c>
      <c r="G619" t="s">
        <v>63</v>
      </c>
      <c r="H619" t="s">
        <v>63</v>
      </c>
      <c r="I619">
        <v>4190</v>
      </c>
      <c r="J619" t="s">
        <v>68</v>
      </c>
      <c r="K619" t="s">
        <v>68</v>
      </c>
      <c r="L619">
        <v>0</v>
      </c>
      <c r="M619">
        <v>0</v>
      </c>
      <c r="N619">
        <v>0</v>
      </c>
      <c r="O619">
        <v>0</v>
      </c>
      <c r="P619">
        <v>4040</v>
      </c>
      <c r="Q619">
        <v>4330</v>
      </c>
      <c r="R619" t="s">
        <v>63</v>
      </c>
      <c r="S619" t="s">
        <v>63</v>
      </c>
    </row>
    <row r="620" spans="1:19" x14ac:dyDescent="0.4">
      <c r="A620" t="s">
        <v>67</v>
      </c>
      <c r="B620">
        <v>202206</v>
      </c>
      <c r="C620">
        <v>20800</v>
      </c>
      <c r="D620" t="s">
        <v>62</v>
      </c>
      <c r="E620" t="s">
        <v>63</v>
      </c>
      <c r="F620" t="s">
        <v>63</v>
      </c>
      <c r="G620" t="s">
        <v>63</v>
      </c>
      <c r="H620" t="s">
        <v>63</v>
      </c>
      <c r="I620">
        <v>51</v>
      </c>
      <c r="J620" t="s">
        <v>68</v>
      </c>
      <c r="K620" t="s">
        <v>68</v>
      </c>
      <c r="L620">
        <v>0</v>
      </c>
      <c r="M620">
        <v>0</v>
      </c>
      <c r="N620">
        <v>0</v>
      </c>
      <c r="O620">
        <v>4</v>
      </c>
      <c r="P620">
        <v>38.5</v>
      </c>
      <c r="Q620">
        <v>67</v>
      </c>
      <c r="R620">
        <v>61</v>
      </c>
      <c r="S620">
        <v>52</v>
      </c>
    </row>
    <row r="621" spans="1:19" x14ac:dyDescent="0.4">
      <c r="A621" t="s">
        <v>67</v>
      </c>
      <c r="B621">
        <v>202206</v>
      </c>
      <c r="C621">
        <v>20800</v>
      </c>
      <c r="D621" t="s">
        <v>64</v>
      </c>
      <c r="E621" t="s">
        <v>63</v>
      </c>
      <c r="F621" t="s">
        <v>63</v>
      </c>
      <c r="G621" t="s">
        <v>63</v>
      </c>
      <c r="H621" t="s">
        <v>63</v>
      </c>
      <c r="I621">
        <v>4390</v>
      </c>
      <c r="J621" t="s">
        <v>68</v>
      </c>
      <c r="K621" t="s">
        <v>68</v>
      </c>
      <c r="L621">
        <v>0</v>
      </c>
      <c r="M621">
        <v>0</v>
      </c>
      <c r="N621">
        <v>0</v>
      </c>
      <c r="O621">
        <v>0</v>
      </c>
      <c r="P621">
        <v>4230</v>
      </c>
      <c r="Q621">
        <v>4520</v>
      </c>
      <c r="R621" t="s">
        <v>63</v>
      </c>
      <c r="S621" t="s">
        <v>63</v>
      </c>
    </row>
    <row r="622" spans="1:19" x14ac:dyDescent="0.4">
      <c r="A622" t="s">
        <v>67</v>
      </c>
      <c r="B622">
        <v>202206</v>
      </c>
      <c r="C622">
        <v>21000</v>
      </c>
      <c r="D622" t="s">
        <v>62</v>
      </c>
      <c r="E622">
        <v>48</v>
      </c>
      <c r="F622">
        <v>48</v>
      </c>
      <c r="G622">
        <v>46</v>
      </c>
      <c r="H622">
        <v>46</v>
      </c>
      <c r="I622">
        <v>46</v>
      </c>
      <c r="J622" t="s">
        <v>81</v>
      </c>
      <c r="K622" t="s">
        <v>297</v>
      </c>
      <c r="L622">
        <v>3</v>
      </c>
      <c r="M622">
        <v>3</v>
      </c>
      <c r="N622">
        <v>6</v>
      </c>
      <c r="O622">
        <v>74</v>
      </c>
      <c r="P622">
        <v>39</v>
      </c>
      <c r="Q622">
        <v>51</v>
      </c>
      <c r="R622">
        <v>78</v>
      </c>
      <c r="S622">
        <v>35</v>
      </c>
    </row>
    <row r="623" spans="1:19" x14ac:dyDescent="0.4">
      <c r="A623" t="s">
        <v>67</v>
      </c>
      <c r="B623">
        <v>202206</v>
      </c>
      <c r="C623">
        <v>21000</v>
      </c>
      <c r="D623" t="s">
        <v>64</v>
      </c>
      <c r="E623" t="s">
        <v>63</v>
      </c>
      <c r="F623" t="s">
        <v>63</v>
      </c>
      <c r="G623" t="s">
        <v>63</v>
      </c>
      <c r="H623" t="s">
        <v>63</v>
      </c>
      <c r="I623">
        <v>4580</v>
      </c>
      <c r="J623" t="s">
        <v>68</v>
      </c>
      <c r="K623" t="s">
        <v>68</v>
      </c>
      <c r="L623">
        <v>0</v>
      </c>
      <c r="M623">
        <v>0</v>
      </c>
      <c r="N623">
        <v>0</v>
      </c>
      <c r="O623">
        <v>0</v>
      </c>
      <c r="P623">
        <v>4430</v>
      </c>
      <c r="Q623">
        <v>4720</v>
      </c>
      <c r="R623" t="s">
        <v>63</v>
      </c>
      <c r="S623" t="s">
        <v>63</v>
      </c>
    </row>
    <row r="624" spans="1:19" x14ac:dyDescent="0.4">
      <c r="A624" t="s">
        <v>141</v>
      </c>
      <c r="B624" t="s">
        <v>141</v>
      </c>
      <c r="C624" t="s">
        <v>141</v>
      </c>
      <c r="D624" t="s">
        <v>141</v>
      </c>
      <c r="E624" t="s">
        <v>141</v>
      </c>
      <c r="F624" t="s">
        <v>141</v>
      </c>
      <c r="G624" t="s">
        <v>141</v>
      </c>
      <c r="H624" t="s">
        <v>141</v>
      </c>
      <c r="I624" t="s">
        <v>141</v>
      </c>
      <c r="J624" t="s">
        <v>141</v>
      </c>
      <c r="K624" t="s">
        <v>65</v>
      </c>
      <c r="L624">
        <v>128208</v>
      </c>
      <c r="M624">
        <v>440000</v>
      </c>
      <c r="N624">
        <v>568208</v>
      </c>
      <c r="O624">
        <v>592567</v>
      </c>
      <c r="P624" t="s">
        <v>141</v>
      </c>
      <c r="Q624" t="s">
        <v>141</v>
      </c>
      <c r="R624" t="s">
        <v>141</v>
      </c>
      <c r="S624" t="s">
        <v>141</v>
      </c>
    </row>
    <row r="625" spans="1:1" x14ac:dyDescent="0.4">
      <c r="A625" t="s">
        <v>66</v>
      </c>
    </row>
    <row r="682" spans="11:11" x14ac:dyDescent="0.4">
      <c r="K682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圖形</vt:lpstr>
      <vt:lpstr>對照日彙整</vt:lpstr>
      <vt:lpstr>最新日彙整</vt:lpstr>
      <vt:lpstr>表格</vt:lpstr>
      <vt:lpstr>對照日整理選擇權報價</vt:lpstr>
      <vt:lpstr>最新日整理選擇權報價</vt:lpstr>
      <vt:lpstr>對照日期貨三大法人</vt:lpstr>
      <vt:lpstr>最新日期貨三大法人</vt:lpstr>
      <vt:lpstr>對照日期貨報價</vt:lpstr>
      <vt:lpstr>最新日期貨報價</vt:lpstr>
      <vt:lpstr>對照日選擇權三大法人</vt:lpstr>
      <vt:lpstr>最新日選擇權三大法人</vt:lpstr>
      <vt:lpstr>對照日選擇權報價</vt:lpstr>
      <vt:lpstr>最新日選擇權報價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黃子瑋</dc:creator>
  <cp:lastModifiedBy>黃子瑋</cp:lastModifiedBy>
  <dcterms:created xsi:type="dcterms:W3CDTF">2021-10-03T05:19:35Z</dcterms:created>
  <dcterms:modified xsi:type="dcterms:W3CDTF">2021-10-18T14:59:55Z</dcterms:modified>
</cp:coreProperties>
</file>